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bba14d83703732/Desktop/CSV/PROJECT/E-commerce Order ^0 Returns Dashboard/"/>
    </mc:Choice>
  </mc:AlternateContent>
  <xr:revisionPtr revIDLastSave="5" documentId="13_ncr:1_{2EB73766-71B0-42D6-B25C-07CA2DE4C04A}" xr6:coauthVersionLast="47" xr6:coauthVersionMax="47" xr10:uidLastSave="{D3143E3D-F937-49F5-8B57-B073E12D57F0}"/>
  <bookViews>
    <workbookView xWindow="-108" yWindow="-108" windowWidth="23256" windowHeight="12456" tabRatio="779" xr2:uid="{00000000-000D-0000-FFFF-FFFF00000000}"/>
  </bookViews>
  <sheets>
    <sheet name="Raw_Data" sheetId="1" r:id="rId1"/>
    <sheet name="Monthly_Summary" sheetId="2" r:id="rId2"/>
    <sheet name="City_Analysis" sheetId="3" r:id="rId3"/>
    <sheet name="Category_Performance" sheetId="4" r:id="rId4"/>
    <sheet name="Channel_Analysis" sheetId="5" r:id="rId5"/>
    <sheet name="Return_Analysis" sheetId="6" r:id="rId6"/>
    <sheet name="MIS_Dashboard" sheetId="7" r:id="rId7"/>
  </sheets>
  <definedNames>
    <definedName name="_xlnm._FilterDatabase" localSheetId="4" hidden="1">Channel_Analysis!$A$8:$E$11</definedName>
    <definedName name="_xlnm._FilterDatabase" localSheetId="2" hidden="1">City_Analysis!$A$14:$E$22</definedName>
    <definedName name="_xlnm._FilterDatabase" localSheetId="1" hidden="1">Monthly_Summary!$A$16:$K$28</definedName>
    <definedName name="_xlnm._FilterDatabase" localSheetId="5" hidden="1">Return_Analysis!$F$3:$G$10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7" l="1"/>
  <c r="E20" i="7"/>
  <c r="D20" i="7"/>
  <c r="C20" i="7"/>
  <c r="B20" i="7"/>
  <c r="G19" i="7"/>
  <c r="E19" i="7"/>
  <c r="D19" i="7"/>
  <c r="C19" i="7"/>
  <c r="B19" i="7"/>
  <c r="G18" i="7"/>
  <c r="E18" i="7"/>
  <c r="D18" i="7"/>
  <c r="C18" i="7"/>
  <c r="B18" i="7"/>
  <c r="G17" i="7"/>
  <c r="E17" i="7"/>
  <c r="D17" i="7"/>
  <c r="C17" i="7"/>
  <c r="B17" i="7"/>
  <c r="G16" i="7"/>
  <c r="E16" i="7"/>
  <c r="D16" i="7"/>
  <c r="C16" i="7"/>
  <c r="B16" i="7"/>
  <c r="G15" i="7"/>
  <c r="E15" i="7"/>
  <c r="D15" i="7"/>
  <c r="C15" i="7"/>
  <c r="B15" i="7"/>
  <c r="G14" i="7"/>
  <c r="E14" i="7"/>
  <c r="D14" i="7"/>
  <c r="C14" i="7"/>
  <c r="B14" i="7"/>
  <c r="G13" i="7"/>
  <c r="E13" i="7"/>
  <c r="D13" i="7"/>
  <c r="C13" i="7"/>
  <c r="B13" i="7"/>
  <c r="G12" i="7"/>
  <c r="E12" i="7"/>
  <c r="D12" i="7"/>
  <c r="C12" i="7"/>
  <c r="B12" i="7"/>
  <c r="G11" i="7"/>
  <c r="E11" i="7"/>
  <c r="D11" i="7"/>
  <c r="C11" i="7"/>
  <c r="B11" i="7"/>
  <c r="G10" i="7"/>
  <c r="E10" i="7"/>
  <c r="D10" i="7"/>
  <c r="C10" i="7"/>
  <c r="B10" i="7"/>
  <c r="G9" i="7"/>
  <c r="E9" i="7"/>
  <c r="D9" i="7"/>
  <c r="C9" i="7"/>
  <c r="B9" i="7"/>
  <c r="I4" i="7"/>
  <c r="H4" i="7"/>
  <c r="F4" i="7"/>
  <c r="E4" i="7"/>
  <c r="C4" i="7"/>
  <c r="B4" i="7"/>
  <c r="B16" i="6"/>
  <c r="C16" i="6" s="1"/>
  <c r="B15" i="6"/>
  <c r="C15" i="6" s="1"/>
  <c r="B14" i="6"/>
  <c r="C14" i="6" s="1"/>
  <c r="B13" i="6"/>
  <c r="C13" i="6" s="1"/>
  <c r="B12" i="6"/>
  <c r="C12" i="6" s="1"/>
  <c r="B8" i="6"/>
  <c r="B7" i="6"/>
  <c r="B6" i="6"/>
  <c r="B5" i="6"/>
  <c r="B4" i="6"/>
  <c r="H4" i="5"/>
  <c r="E4" i="5"/>
  <c r="D4" i="5"/>
  <c r="C4" i="5"/>
  <c r="B4" i="5"/>
  <c r="H3" i="5"/>
  <c r="E3" i="5"/>
  <c r="D3" i="5"/>
  <c r="C3" i="5"/>
  <c r="B3" i="5"/>
  <c r="H2" i="5"/>
  <c r="E2" i="5"/>
  <c r="D2" i="5"/>
  <c r="C2" i="5"/>
  <c r="B2" i="5"/>
  <c r="I4" i="4"/>
  <c r="E4" i="4"/>
  <c r="D4" i="4"/>
  <c r="C4" i="4"/>
  <c r="B4" i="4"/>
  <c r="I6" i="4"/>
  <c r="E6" i="4"/>
  <c r="D6" i="4"/>
  <c r="C6" i="4"/>
  <c r="B6" i="4"/>
  <c r="I3" i="4"/>
  <c r="E3" i="4"/>
  <c r="D3" i="4"/>
  <c r="C3" i="4"/>
  <c r="B3" i="4"/>
  <c r="I5" i="4"/>
  <c r="E5" i="4"/>
  <c r="D5" i="4"/>
  <c r="C5" i="4"/>
  <c r="B5" i="4"/>
  <c r="I2" i="4"/>
  <c r="E2" i="4"/>
  <c r="D2" i="4"/>
  <c r="C2" i="4"/>
  <c r="B2" i="4"/>
  <c r="E4" i="3"/>
  <c r="D4" i="3"/>
  <c r="C4" i="3"/>
  <c r="B4" i="3"/>
  <c r="E6" i="3"/>
  <c r="D6" i="3"/>
  <c r="C6" i="3"/>
  <c r="B6" i="3"/>
  <c r="E3" i="3"/>
  <c r="D3" i="3"/>
  <c r="C3" i="3"/>
  <c r="B3" i="3"/>
  <c r="E5" i="3"/>
  <c r="D5" i="3"/>
  <c r="C5" i="3"/>
  <c r="B5" i="3"/>
  <c r="E7" i="3"/>
  <c r="D7" i="3"/>
  <c r="C7" i="3"/>
  <c r="B7" i="3"/>
  <c r="E9" i="3"/>
  <c r="D9" i="3"/>
  <c r="C9" i="3"/>
  <c r="B9" i="3"/>
  <c r="E8" i="3"/>
  <c r="D8" i="3"/>
  <c r="C8" i="3"/>
  <c r="B8" i="3"/>
  <c r="E2" i="3"/>
  <c r="F2" i="3" s="1"/>
  <c r="D2" i="3"/>
  <c r="C2" i="3"/>
  <c r="B2" i="3"/>
  <c r="H13" i="2"/>
  <c r="F13" i="2"/>
  <c r="E13" i="2"/>
  <c r="D13" i="2"/>
  <c r="C13" i="2"/>
  <c r="H12" i="2"/>
  <c r="F12" i="2"/>
  <c r="E12" i="2"/>
  <c r="D12" i="2"/>
  <c r="C12" i="2"/>
  <c r="H11" i="2"/>
  <c r="F11" i="2"/>
  <c r="E11" i="2"/>
  <c r="D11" i="2"/>
  <c r="C11" i="2"/>
  <c r="H10" i="2"/>
  <c r="F10" i="2"/>
  <c r="E10" i="2"/>
  <c r="D10" i="2"/>
  <c r="C10" i="2"/>
  <c r="H9" i="2"/>
  <c r="F9" i="2"/>
  <c r="E9" i="2"/>
  <c r="D9" i="2"/>
  <c r="C9" i="2"/>
  <c r="H8" i="2"/>
  <c r="F8" i="2"/>
  <c r="E8" i="2"/>
  <c r="D8" i="2"/>
  <c r="C8" i="2"/>
  <c r="H7" i="2"/>
  <c r="F7" i="2"/>
  <c r="E7" i="2"/>
  <c r="D7" i="2"/>
  <c r="C7" i="2"/>
  <c r="H6" i="2"/>
  <c r="F6" i="2"/>
  <c r="E6" i="2"/>
  <c r="D6" i="2"/>
  <c r="C6" i="2"/>
  <c r="H5" i="2"/>
  <c r="F5" i="2"/>
  <c r="E5" i="2"/>
  <c r="D5" i="2"/>
  <c r="C5" i="2"/>
  <c r="H4" i="2"/>
  <c r="F4" i="2"/>
  <c r="E4" i="2"/>
  <c r="D4" i="2"/>
  <c r="C4" i="2"/>
  <c r="H3" i="2"/>
  <c r="F3" i="2"/>
  <c r="E3" i="2"/>
  <c r="D3" i="2"/>
  <c r="C3" i="2"/>
  <c r="H2" i="2"/>
  <c r="F2" i="2"/>
  <c r="E2" i="2"/>
  <c r="D2" i="2"/>
  <c r="C2" i="2"/>
  <c r="I2" i="2" l="1"/>
  <c r="J5" i="2"/>
  <c r="I6" i="2"/>
  <c r="J9" i="2"/>
  <c r="J13" i="2"/>
  <c r="I3" i="2"/>
  <c r="I5" i="2"/>
  <c r="I9" i="2"/>
  <c r="I13" i="2"/>
  <c r="I11" i="2"/>
  <c r="G2" i="2"/>
  <c r="F9" i="3"/>
  <c r="F7" i="3"/>
  <c r="F5" i="3"/>
  <c r="F6" i="3"/>
  <c r="F4" i="3"/>
  <c r="G3" i="2"/>
  <c r="G2" i="3"/>
  <c r="G7" i="3"/>
  <c r="G3" i="3"/>
  <c r="G4" i="3"/>
  <c r="I12" i="7"/>
  <c r="I16" i="7"/>
  <c r="I7" i="2"/>
  <c r="I4" i="2"/>
  <c r="J7" i="2"/>
  <c r="I8" i="2"/>
  <c r="J11" i="2"/>
  <c r="G13" i="2"/>
  <c r="G5" i="4"/>
  <c r="F3" i="4"/>
  <c r="G2" i="5"/>
  <c r="F3" i="5"/>
  <c r="F4" i="5"/>
  <c r="C6" i="6"/>
  <c r="F9" i="7"/>
  <c r="J4" i="2"/>
  <c r="G5" i="2"/>
  <c r="J6" i="2"/>
  <c r="G7" i="2"/>
  <c r="J8" i="2"/>
  <c r="G9" i="2"/>
  <c r="J10" i="2"/>
  <c r="G11" i="2"/>
  <c r="J12" i="2"/>
  <c r="H8" i="3"/>
  <c r="H9" i="3"/>
  <c r="H5" i="3"/>
  <c r="H6" i="3"/>
  <c r="G2" i="4"/>
  <c r="F5" i="4"/>
  <c r="G4" i="4"/>
  <c r="C5" i="6"/>
  <c r="H9" i="7"/>
  <c r="I11" i="7"/>
  <c r="H13" i="7"/>
  <c r="I15" i="7"/>
  <c r="H17" i="7"/>
  <c r="I19" i="7"/>
  <c r="H10" i="7"/>
  <c r="H14" i="7"/>
  <c r="H18" i="7"/>
  <c r="I20" i="7"/>
  <c r="G4" i="2"/>
  <c r="G6" i="2"/>
  <c r="G8" i="2"/>
  <c r="G10" i="2"/>
  <c r="G12" i="2"/>
  <c r="G3" i="4"/>
  <c r="F6" i="4"/>
  <c r="G3" i="5"/>
  <c r="C7" i="6"/>
  <c r="H11" i="7"/>
  <c r="I13" i="7"/>
  <c r="H15" i="7"/>
  <c r="I17" i="7"/>
  <c r="H19" i="7"/>
  <c r="I10" i="2"/>
  <c r="I12" i="2"/>
  <c r="F8" i="3"/>
  <c r="F3" i="3"/>
  <c r="F2" i="4"/>
  <c r="G6" i="4"/>
  <c r="F4" i="4"/>
  <c r="F2" i="5"/>
  <c r="G4" i="5"/>
  <c r="C4" i="6"/>
  <c r="C8" i="6"/>
  <c r="I10" i="7"/>
  <c r="H12" i="7"/>
  <c r="I14" i="7"/>
  <c r="H16" i="7"/>
  <c r="I18" i="7"/>
  <c r="H20" i="7"/>
  <c r="J3" i="2"/>
  <c r="G5" i="3"/>
  <c r="H3" i="3"/>
  <c r="H2" i="3"/>
  <c r="H2" i="4"/>
  <c r="H5" i="4"/>
  <c r="H3" i="4"/>
  <c r="H6" i="4"/>
  <c r="H4" i="4"/>
  <c r="F10" i="7"/>
  <c r="F11" i="7"/>
  <c r="F12" i="7"/>
  <c r="F13" i="7"/>
  <c r="F14" i="7"/>
  <c r="F15" i="7"/>
  <c r="F16" i="7"/>
  <c r="F17" i="7"/>
  <c r="F18" i="7"/>
  <c r="F19" i="7"/>
  <c r="F20" i="7"/>
  <c r="G6" i="3"/>
  <c r="H4" i="3"/>
  <c r="G9" i="3"/>
  <c r="H7" i="3"/>
  <c r="G8" i="3"/>
</calcChain>
</file>

<file path=xl/sharedStrings.xml><?xml version="1.0" encoding="utf-8"?>
<sst xmlns="http://schemas.openxmlformats.org/spreadsheetml/2006/main" count="2868" uniqueCount="612">
  <si>
    <t>Order_ID</t>
  </si>
  <si>
    <t>Month</t>
  </si>
  <si>
    <t>Month_No</t>
  </si>
  <si>
    <t>Date</t>
  </si>
  <si>
    <t>City</t>
  </si>
  <si>
    <t>Category</t>
  </si>
  <si>
    <t>Product</t>
  </si>
  <si>
    <t>Channel</t>
  </si>
  <si>
    <t>Units_Sold</t>
  </si>
  <si>
    <t>Unit_Price</t>
  </si>
  <si>
    <t>Revenue</t>
  </si>
  <si>
    <t>Discount_%</t>
  </si>
  <si>
    <t>Net_Revenue</t>
  </si>
  <si>
    <t>Delivery_Days</t>
  </si>
  <si>
    <t>Order_Status</t>
  </si>
  <si>
    <t>Payment_Mode</t>
  </si>
  <si>
    <t>Return_Reason</t>
  </si>
  <si>
    <t>Target_Revenue</t>
  </si>
  <si>
    <t>ORD1001</t>
  </si>
  <si>
    <t>Jan</t>
  </si>
  <si>
    <t>2024-01-03</t>
  </si>
  <si>
    <t>Hyderabad</t>
  </si>
  <si>
    <t>Electronics</t>
  </si>
  <si>
    <t>Smartphone</t>
  </si>
  <si>
    <t>Website</t>
  </si>
  <si>
    <t>Delivered</t>
  </si>
  <si>
    <t>COD</t>
  </si>
  <si>
    <t>ORD1002</t>
  </si>
  <si>
    <t>Feb</t>
  </si>
  <si>
    <t>2024-02-28</t>
  </si>
  <si>
    <t>Mumbai</t>
  </si>
  <si>
    <t>Clothing</t>
  </si>
  <si>
    <t>Jeans</t>
  </si>
  <si>
    <t>Marketplace</t>
  </si>
  <si>
    <t>Net Banking</t>
  </si>
  <si>
    <t>ORD1003</t>
  </si>
  <si>
    <t>Mar</t>
  </si>
  <si>
    <t>2024-03-28</t>
  </si>
  <si>
    <t>Kolkata</t>
  </si>
  <si>
    <t>Laptop</t>
  </si>
  <si>
    <t>Mobile App</t>
  </si>
  <si>
    <t>ORD1004</t>
  </si>
  <si>
    <t>Apr</t>
  </si>
  <si>
    <t>2024-04-10</t>
  </si>
  <si>
    <t>Home &amp; Kitchen</t>
  </si>
  <si>
    <t>LED Bulb</t>
  </si>
  <si>
    <t>Pending</t>
  </si>
  <si>
    <t>ORD1005</t>
  </si>
  <si>
    <t>May</t>
  </si>
  <si>
    <t>2024-05-13</t>
  </si>
  <si>
    <t>Chennai</t>
  </si>
  <si>
    <t>Books</t>
  </si>
  <si>
    <t>Textbook</t>
  </si>
  <si>
    <t>Credit Card</t>
  </si>
  <si>
    <t>ORD1006</t>
  </si>
  <si>
    <t>Jun</t>
  </si>
  <si>
    <t>2024-06-18</t>
  </si>
  <si>
    <t>Pune</t>
  </si>
  <si>
    <t>Iron</t>
  </si>
  <si>
    <t>Returned</t>
  </si>
  <si>
    <t>UPI</t>
  </si>
  <si>
    <t>Late Delivery</t>
  </si>
  <si>
    <t>ORD1007</t>
  </si>
  <si>
    <t>Jul</t>
  </si>
  <si>
    <t>2024-07-02</t>
  </si>
  <si>
    <t>Ahmedabad</t>
  </si>
  <si>
    <t>ORD1008</t>
  </si>
  <si>
    <t>Aug</t>
  </si>
  <si>
    <t>2024-08-21</t>
  </si>
  <si>
    <t>ORD1009</t>
  </si>
  <si>
    <t>Sep</t>
  </si>
  <si>
    <t>2024-09-08</t>
  </si>
  <si>
    <t>Sports</t>
  </si>
  <si>
    <t>Yoga Mat</t>
  </si>
  <si>
    <t>ORD1010</t>
  </si>
  <si>
    <t>Oct</t>
  </si>
  <si>
    <t>2024-10-13</t>
  </si>
  <si>
    <t>Kurta</t>
  </si>
  <si>
    <t>ORD1011</t>
  </si>
  <si>
    <t>Nov</t>
  </si>
  <si>
    <t>2024-11-25</t>
  </si>
  <si>
    <t>Cycling Gloves</t>
  </si>
  <si>
    <t>ORD1012</t>
  </si>
  <si>
    <t>Dec</t>
  </si>
  <si>
    <t>2024-12-04</t>
  </si>
  <si>
    <t>Mixer</t>
  </si>
  <si>
    <t>ORD1013</t>
  </si>
  <si>
    <t>2024-01-01</t>
  </si>
  <si>
    <t>Cancelled</t>
  </si>
  <si>
    <t>ORD1014</t>
  </si>
  <si>
    <t>2024-02-25</t>
  </si>
  <si>
    <t>Earbuds</t>
  </si>
  <si>
    <t>ORD1015</t>
  </si>
  <si>
    <t>2024-03-07</t>
  </si>
  <si>
    <t>Bangalore</t>
  </si>
  <si>
    <t>Self-Help</t>
  </si>
  <si>
    <t>ORD1016</t>
  </si>
  <si>
    <t>2024-04-08</t>
  </si>
  <si>
    <t>ORD1017</t>
  </si>
  <si>
    <t>2024-05-02</t>
  </si>
  <si>
    <t>ORD1018</t>
  </si>
  <si>
    <t>2024-06-08</t>
  </si>
  <si>
    <t>ORD1019</t>
  </si>
  <si>
    <t>Football</t>
  </si>
  <si>
    <t>ORD1020</t>
  </si>
  <si>
    <t>2024-08-06</t>
  </si>
  <si>
    <t>ORD1021</t>
  </si>
  <si>
    <t>2024-09-03</t>
  </si>
  <si>
    <t>ORD1022</t>
  </si>
  <si>
    <t>2024-10-09</t>
  </si>
  <si>
    <t>ORD1023</t>
  </si>
  <si>
    <t>2024-11-19</t>
  </si>
  <si>
    <t>Badminton Racket</t>
  </si>
  <si>
    <t>ORD1024</t>
  </si>
  <si>
    <t>2024-12-17</t>
  </si>
  <si>
    <t>Fiction Novel</t>
  </si>
  <si>
    <t>ORD1025</t>
  </si>
  <si>
    <t>2024-01-20</t>
  </si>
  <si>
    <t>Delhi</t>
  </si>
  <si>
    <t>ORD1026</t>
  </si>
  <si>
    <t>2024-02-23</t>
  </si>
  <si>
    <t>Tablet</t>
  </si>
  <si>
    <t>Debit Card</t>
  </si>
  <si>
    <t>ORD1027</t>
  </si>
  <si>
    <t>2024-03-20</t>
  </si>
  <si>
    <t>Pressure Cooker</t>
  </si>
  <si>
    <t>ORD1028</t>
  </si>
  <si>
    <t>2024-04-12</t>
  </si>
  <si>
    <t>ORD1029</t>
  </si>
  <si>
    <t>2024-05-22</t>
  </si>
  <si>
    <t>ORD1030</t>
  </si>
  <si>
    <t>2024-06-11</t>
  </si>
  <si>
    <t>ORD1031</t>
  </si>
  <si>
    <t>2024-07-25</t>
  </si>
  <si>
    <t>Saree</t>
  </si>
  <si>
    <t>ORD1032</t>
  </si>
  <si>
    <t>2024-08-23</t>
  </si>
  <si>
    <t>ORD1033</t>
  </si>
  <si>
    <t>2024-09-26</t>
  </si>
  <si>
    <t>ORD1034</t>
  </si>
  <si>
    <t>2024-10-08</t>
  </si>
  <si>
    <t>ORD1035</t>
  </si>
  <si>
    <t>2024-11-02</t>
  </si>
  <si>
    <t>ORD1036</t>
  </si>
  <si>
    <t>2024-12-09</t>
  </si>
  <si>
    <t>ORD1037</t>
  </si>
  <si>
    <t>2024-01-09</t>
  </si>
  <si>
    <t>ORD1038</t>
  </si>
  <si>
    <t>2024-02-17</t>
  </si>
  <si>
    <t>Damaged</t>
  </si>
  <si>
    <t>ORD1039</t>
  </si>
  <si>
    <t>2024-03-24</t>
  </si>
  <si>
    <t>Smartwatch</t>
  </si>
  <si>
    <t>ORD1040</t>
  </si>
  <si>
    <t>ORD1041</t>
  </si>
  <si>
    <t>2024-05-06</t>
  </si>
  <si>
    <t>ORD1042</t>
  </si>
  <si>
    <t>Biography</t>
  </si>
  <si>
    <t>ORD1043</t>
  </si>
  <si>
    <t>2024-07-21</t>
  </si>
  <si>
    <t>ORD1044</t>
  </si>
  <si>
    <t>2024-08-16</t>
  </si>
  <si>
    <t>ORD1045</t>
  </si>
  <si>
    <t>2024-09-05</t>
  </si>
  <si>
    <t>ORD1046</t>
  </si>
  <si>
    <t>2024-10-26</t>
  </si>
  <si>
    <t>ORD1047</t>
  </si>
  <si>
    <t>2024-11-16</t>
  </si>
  <si>
    <t>ORD1048</t>
  </si>
  <si>
    <t>2024-12-08</t>
  </si>
  <si>
    <t>ORD1049</t>
  </si>
  <si>
    <t>Water Purifier</t>
  </si>
  <si>
    <t>ORD1050</t>
  </si>
  <si>
    <t>2024-02-19</t>
  </si>
  <si>
    <t>ORD1051</t>
  </si>
  <si>
    <t>ORD1052</t>
  </si>
  <si>
    <t>2024-04-26</t>
  </si>
  <si>
    <t>ORD1053</t>
  </si>
  <si>
    <t>2024-05-14</t>
  </si>
  <si>
    <t>ORD1054</t>
  </si>
  <si>
    <t>2024-06-13</t>
  </si>
  <si>
    <t>Jacket</t>
  </si>
  <si>
    <t>ORD1055</t>
  </si>
  <si>
    <t>2024-07-03</t>
  </si>
  <si>
    <t>ORD1056</t>
  </si>
  <si>
    <t>2024-08-19</t>
  </si>
  <si>
    <t>ORD1057</t>
  </si>
  <si>
    <t>2024-09-01</t>
  </si>
  <si>
    <t>Changed Mind</t>
  </si>
  <si>
    <t>ORD1058</t>
  </si>
  <si>
    <t>2024-10-25</t>
  </si>
  <si>
    <t>ORD1059</t>
  </si>
  <si>
    <t>2024-11-21</t>
  </si>
  <si>
    <t>ORD1060</t>
  </si>
  <si>
    <t>2024-12-21</t>
  </si>
  <si>
    <t>Wrong Item</t>
  </si>
  <si>
    <t>ORD1061</t>
  </si>
  <si>
    <t>2024-01-15</t>
  </si>
  <si>
    <t>ORD1062</t>
  </si>
  <si>
    <t>2024-02-11</t>
  </si>
  <si>
    <t>ORD1063</t>
  </si>
  <si>
    <t>2024-03-25</t>
  </si>
  <si>
    <t>ORD1064</t>
  </si>
  <si>
    <t>2024-04-19</t>
  </si>
  <si>
    <t>ORD1065</t>
  </si>
  <si>
    <t>2024-05-04</t>
  </si>
  <si>
    <t>ORD1066</t>
  </si>
  <si>
    <t>2024-06-25</t>
  </si>
  <si>
    <t>ORD1067</t>
  </si>
  <si>
    <t>2024-07-18</t>
  </si>
  <si>
    <t>ORD1068</t>
  </si>
  <si>
    <t>ORD1069</t>
  </si>
  <si>
    <t>2024-09-19</t>
  </si>
  <si>
    <t>ORD1070</t>
  </si>
  <si>
    <t>ORD1071</t>
  </si>
  <si>
    <t>ORD1072</t>
  </si>
  <si>
    <t>2024-12-01</t>
  </si>
  <si>
    <t>ORD1073</t>
  </si>
  <si>
    <t>Quality Issue</t>
  </si>
  <si>
    <t>ORD1074</t>
  </si>
  <si>
    <t>2024-02-26</t>
  </si>
  <si>
    <t>ORD1075</t>
  </si>
  <si>
    <t>2024-03-15</t>
  </si>
  <si>
    <t>ORD1076</t>
  </si>
  <si>
    <t>2024-04-27</t>
  </si>
  <si>
    <t>ORD1077</t>
  </si>
  <si>
    <t>2024-05-15</t>
  </si>
  <si>
    <t>ORD1078</t>
  </si>
  <si>
    <t>2024-06-04</t>
  </si>
  <si>
    <t>ORD1079</t>
  </si>
  <si>
    <t>2024-07-11</t>
  </si>
  <si>
    <t>ORD1080</t>
  </si>
  <si>
    <t>2024-08-25</t>
  </si>
  <si>
    <t>ORD1081</t>
  </si>
  <si>
    <t>2024-09-21</t>
  </si>
  <si>
    <t>ORD1082</t>
  </si>
  <si>
    <t>2024-10-04</t>
  </si>
  <si>
    <t>ORD1083</t>
  </si>
  <si>
    <t>2024-11-05</t>
  </si>
  <si>
    <t>ORD1084</t>
  </si>
  <si>
    <t>2024-12-10</t>
  </si>
  <si>
    <t>ORD1085</t>
  </si>
  <si>
    <t>2024-01-11</t>
  </si>
  <si>
    <t>ORD1086</t>
  </si>
  <si>
    <t>ORD1087</t>
  </si>
  <si>
    <t>ORD1088</t>
  </si>
  <si>
    <t>2024-04-28</t>
  </si>
  <si>
    <t>ORD1089</t>
  </si>
  <si>
    <t>2024-05-10</t>
  </si>
  <si>
    <t>ORD1090</t>
  </si>
  <si>
    <t>2024-06-02</t>
  </si>
  <si>
    <t>T-Shirt</t>
  </si>
  <si>
    <t>ORD1091</t>
  </si>
  <si>
    <t>2024-07-06</t>
  </si>
  <si>
    <t>ORD1092</t>
  </si>
  <si>
    <t>2024-08-15</t>
  </si>
  <si>
    <t>ORD1093</t>
  </si>
  <si>
    <t>ORD1094</t>
  </si>
  <si>
    <t>2024-10-19</t>
  </si>
  <si>
    <t>ORD1095</t>
  </si>
  <si>
    <t>2024-11-24</t>
  </si>
  <si>
    <t>ORD1096</t>
  </si>
  <si>
    <t>ORD1097</t>
  </si>
  <si>
    <t>2024-01-06</t>
  </si>
  <si>
    <t>ORD1098</t>
  </si>
  <si>
    <t>2024-02-10</t>
  </si>
  <si>
    <t>ORD1099</t>
  </si>
  <si>
    <t>2024-03-18</t>
  </si>
  <si>
    <t>ORD1100</t>
  </si>
  <si>
    <t>ORD1101</t>
  </si>
  <si>
    <t>Cricket Bat</t>
  </si>
  <si>
    <t>ORD1102</t>
  </si>
  <si>
    <t>2024-06-12</t>
  </si>
  <si>
    <t>ORD1103</t>
  </si>
  <si>
    <t>2024-07-12</t>
  </si>
  <si>
    <t>Comic Book</t>
  </si>
  <si>
    <t>ORD1104</t>
  </si>
  <si>
    <t>2024-08-09</t>
  </si>
  <si>
    <t>ORD1105</t>
  </si>
  <si>
    <t>ORD1106</t>
  </si>
  <si>
    <t>2024-10-20</t>
  </si>
  <si>
    <t>ORD1107</t>
  </si>
  <si>
    <t>2024-11-12</t>
  </si>
  <si>
    <t>ORD1108</t>
  </si>
  <si>
    <t>2024-12-16</t>
  </si>
  <si>
    <t>ORD1109</t>
  </si>
  <si>
    <t>ORD1110</t>
  </si>
  <si>
    <t>2024-02-05</t>
  </si>
  <si>
    <t>ORD1111</t>
  </si>
  <si>
    <t>ORD1112</t>
  </si>
  <si>
    <t>ORD1113</t>
  </si>
  <si>
    <t>ORD1114</t>
  </si>
  <si>
    <t>ORD1115</t>
  </si>
  <si>
    <t>2024-07-04</t>
  </si>
  <si>
    <t>ORD1116</t>
  </si>
  <si>
    <t>ORD1117</t>
  </si>
  <si>
    <t>2024-09-22</t>
  </si>
  <si>
    <t>ORD1118</t>
  </si>
  <si>
    <t>ORD1119</t>
  </si>
  <si>
    <t>2024-11-10</t>
  </si>
  <si>
    <t>ORD1120</t>
  </si>
  <si>
    <t>2024-12-14</t>
  </si>
  <si>
    <t>ORD1121</t>
  </si>
  <si>
    <t>2024-01-22</t>
  </si>
  <si>
    <t>ORD1122</t>
  </si>
  <si>
    <t>ORD1123</t>
  </si>
  <si>
    <t>2024-03-08</t>
  </si>
  <si>
    <t>ORD1124</t>
  </si>
  <si>
    <t>ORD1125</t>
  </si>
  <si>
    <t>2024-05-20</t>
  </si>
  <si>
    <t>ORD1126</t>
  </si>
  <si>
    <t>2024-06-28</t>
  </si>
  <si>
    <t>ORD1127</t>
  </si>
  <si>
    <t>ORD1128</t>
  </si>
  <si>
    <t>ORD1129</t>
  </si>
  <si>
    <t>2024-09-20</t>
  </si>
  <si>
    <t>ORD1130</t>
  </si>
  <si>
    <t>2024-10-03</t>
  </si>
  <si>
    <t>ORD1131</t>
  </si>
  <si>
    <t>2024-11-17</t>
  </si>
  <si>
    <t>ORD1132</t>
  </si>
  <si>
    <t>2024-12-02</t>
  </si>
  <si>
    <t>ORD1133</t>
  </si>
  <si>
    <t>2024-01-17</t>
  </si>
  <si>
    <t>ORD1134</t>
  </si>
  <si>
    <t>2024-02-21</t>
  </si>
  <si>
    <t>ORD1135</t>
  </si>
  <si>
    <t>2024-03-11</t>
  </si>
  <si>
    <t>ORD1136</t>
  </si>
  <si>
    <t>2024-04-13</t>
  </si>
  <si>
    <t>ORD1137</t>
  </si>
  <si>
    <t>2024-05-07</t>
  </si>
  <si>
    <t>ORD1138</t>
  </si>
  <si>
    <t>ORD1139</t>
  </si>
  <si>
    <t>ORD1140</t>
  </si>
  <si>
    <t>2024-08-08</t>
  </si>
  <si>
    <t>ORD1141</t>
  </si>
  <si>
    <t>2024-09-06</t>
  </si>
  <si>
    <t>ORD1142</t>
  </si>
  <si>
    <t>2024-10-17</t>
  </si>
  <si>
    <t>ORD1143</t>
  </si>
  <si>
    <t>2024-11-08</t>
  </si>
  <si>
    <t>ORD1144</t>
  </si>
  <si>
    <t>ORD1145</t>
  </si>
  <si>
    <t>2024-01-16</t>
  </si>
  <si>
    <t>ORD1146</t>
  </si>
  <si>
    <t>2024-02-04</t>
  </si>
  <si>
    <t>ORD1147</t>
  </si>
  <si>
    <t>2024-03-16</t>
  </si>
  <si>
    <t>ORD1148</t>
  </si>
  <si>
    <t>ORD1149</t>
  </si>
  <si>
    <t>2024-05-26</t>
  </si>
  <si>
    <t>ORD1150</t>
  </si>
  <si>
    <t>ORD1151</t>
  </si>
  <si>
    <t>ORD1152</t>
  </si>
  <si>
    <t>2024-08-07</t>
  </si>
  <si>
    <t>ORD1153</t>
  </si>
  <si>
    <t>2024-09-02</t>
  </si>
  <si>
    <t>ORD1154</t>
  </si>
  <si>
    <t>ORD1155</t>
  </si>
  <si>
    <t>2024-11-03</t>
  </si>
  <si>
    <t>ORD1156</t>
  </si>
  <si>
    <t>2024-12-20</t>
  </si>
  <si>
    <t>ORD1157</t>
  </si>
  <si>
    <t>2024-01-26</t>
  </si>
  <si>
    <t>ORD1158</t>
  </si>
  <si>
    <t>2024-02-15</t>
  </si>
  <si>
    <t>ORD1159</t>
  </si>
  <si>
    <t>2024-03-05</t>
  </si>
  <si>
    <t>ORD1160</t>
  </si>
  <si>
    <t>2024-04-09</t>
  </si>
  <si>
    <t>ORD1161</t>
  </si>
  <si>
    <t>2024-05-09</t>
  </si>
  <si>
    <t>ORD1162</t>
  </si>
  <si>
    <t>2024-06-23</t>
  </si>
  <si>
    <t>ORD1163</t>
  </si>
  <si>
    <t>2024-07-23</t>
  </si>
  <si>
    <t>ORD1164</t>
  </si>
  <si>
    <t>ORD1165</t>
  </si>
  <si>
    <t>ORD1166</t>
  </si>
  <si>
    <t>2024-10-06</t>
  </si>
  <si>
    <t>ORD1167</t>
  </si>
  <si>
    <t>ORD1168</t>
  </si>
  <si>
    <t>ORD1169</t>
  </si>
  <si>
    <t>2024-01-28</t>
  </si>
  <si>
    <t>ORD1170</t>
  </si>
  <si>
    <t>2024-02-16</t>
  </si>
  <si>
    <t>ORD1171</t>
  </si>
  <si>
    <t>2024-03-14</t>
  </si>
  <si>
    <t>ORD1172</t>
  </si>
  <si>
    <t>ORD1173</t>
  </si>
  <si>
    <t>ORD1174</t>
  </si>
  <si>
    <t>2024-06-17</t>
  </si>
  <si>
    <t>ORD1175</t>
  </si>
  <si>
    <t>ORD1176</t>
  </si>
  <si>
    <t>ORD1177</t>
  </si>
  <si>
    <t>2024-09-13</t>
  </si>
  <si>
    <t>ORD1178</t>
  </si>
  <si>
    <t>2024-10-11</t>
  </si>
  <si>
    <t>ORD1179</t>
  </si>
  <si>
    <t>2024-11-11</t>
  </si>
  <si>
    <t>ORD1180</t>
  </si>
  <si>
    <t>ORD1181</t>
  </si>
  <si>
    <t>2024-01-12</t>
  </si>
  <si>
    <t>ORD1182</t>
  </si>
  <si>
    <t>2024-02-24</t>
  </si>
  <si>
    <t>ORD1183</t>
  </si>
  <si>
    <t>2024-03-23</t>
  </si>
  <si>
    <t>ORD1184</t>
  </si>
  <si>
    <t>2024-04-20</t>
  </si>
  <si>
    <t>ORD1185</t>
  </si>
  <si>
    <t>ORD1186</t>
  </si>
  <si>
    <t>2024-06-10</t>
  </si>
  <si>
    <t>ORD1187</t>
  </si>
  <si>
    <t>2024-07-19</t>
  </si>
  <si>
    <t>ORD1188</t>
  </si>
  <si>
    <t>ORD1189</t>
  </si>
  <si>
    <t>2024-09-24</t>
  </si>
  <si>
    <t>ORD1190</t>
  </si>
  <si>
    <t>2024-10-16</t>
  </si>
  <si>
    <t>ORD1191</t>
  </si>
  <si>
    <t>ORD1192</t>
  </si>
  <si>
    <t>2024-12-27</t>
  </si>
  <si>
    <t>ORD1193</t>
  </si>
  <si>
    <t>ORD1194</t>
  </si>
  <si>
    <t>ORD1195</t>
  </si>
  <si>
    <t>ORD1196</t>
  </si>
  <si>
    <t>ORD1197</t>
  </si>
  <si>
    <t>2024-05-21</t>
  </si>
  <si>
    <t>ORD1198</t>
  </si>
  <si>
    <t>ORD1199</t>
  </si>
  <si>
    <t>2024-07-20</t>
  </si>
  <si>
    <t>ORD1200</t>
  </si>
  <si>
    <t>2024-08-03</t>
  </si>
  <si>
    <t>ORD1201</t>
  </si>
  <si>
    <t>2024-09-18</t>
  </si>
  <si>
    <t>ORD1202</t>
  </si>
  <si>
    <t>2024-10-02</t>
  </si>
  <si>
    <t>ORD1203</t>
  </si>
  <si>
    <t>2024-11-13</t>
  </si>
  <si>
    <t>ORD1204</t>
  </si>
  <si>
    <t>2024-12-03</t>
  </si>
  <si>
    <t>ORD1205</t>
  </si>
  <si>
    <t>2024-01-13</t>
  </si>
  <si>
    <t>ORD1206</t>
  </si>
  <si>
    <t>ORD1207</t>
  </si>
  <si>
    <t>2024-03-12</t>
  </si>
  <si>
    <t>ORD1208</t>
  </si>
  <si>
    <t>2024-04-03</t>
  </si>
  <si>
    <t>ORD1209</t>
  </si>
  <si>
    <t>ORD1210</t>
  </si>
  <si>
    <t>2024-06-05</t>
  </si>
  <si>
    <t>ORD1211</t>
  </si>
  <si>
    <t>2024-07-14</t>
  </si>
  <si>
    <t>ORD1212</t>
  </si>
  <si>
    <t>2024-08-10</t>
  </si>
  <si>
    <t>ORD1213</t>
  </si>
  <si>
    <t>2024-09-14</t>
  </si>
  <si>
    <t>ORD1214</t>
  </si>
  <si>
    <t>ORD1215</t>
  </si>
  <si>
    <t>ORD1216</t>
  </si>
  <si>
    <t>ORD1217</t>
  </si>
  <si>
    <t>ORD1218</t>
  </si>
  <si>
    <t>2024-02-12</t>
  </si>
  <si>
    <t>ORD1219</t>
  </si>
  <si>
    <t>ORD1220</t>
  </si>
  <si>
    <t>ORD1221</t>
  </si>
  <si>
    <t>2024-05-18</t>
  </si>
  <si>
    <t>ORD1222</t>
  </si>
  <si>
    <t>ORD1223</t>
  </si>
  <si>
    <t>ORD1224</t>
  </si>
  <si>
    <t>ORD1225</t>
  </si>
  <si>
    <t>ORD1226</t>
  </si>
  <si>
    <t>ORD1227</t>
  </si>
  <si>
    <t>ORD1228</t>
  </si>
  <si>
    <t>2024-12-28</t>
  </si>
  <si>
    <t>ORD1229</t>
  </si>
  <si>
    <t>ORD1230</t>
  </si>
  <si>
    <t>2024-02-08</t>
  </si>
  <si>
    <t>ORD1231</t>
  </si>
  <si>
    <t>2024-03-13</t>
  </si>
  <si>
    <t>ORD1232</t>
  </si>
  <si>
    <t>2024-04-23</t>
  </si>
  <si>
    <t>ORD1233</t>
  </si>
  <si>
    <t>2024-05-03</t>
  </si>
  <si>
    <t>ORD1234</t>
  </si>
  <si>
    <t>2024-06-20</t>
  </si>
  <si>
    <t>ORD1235</t>
  </si>
  <si>
    <t>ORD1236</t>
  </si>
  <si>
    <t>ORD1237</t>
  </si>
  <si>
    <t>2024-09-10</t>
  </si>
  <si>
    <t>ORD1238</t>
  </si>
  <si>
    <t>ORD1239</t>
  </si>
  <si>
    <t>ORD1240</t>
  </si>
  <si>
    <t>2024-12-18</t>
  </si>
  <si>
    <t>ORD1241</t>
  </si>
  <si>
    <t>2024-01-08</t>
  </si>
  <si>
    <t>ORD1242</t>
  </si>
  <si>
    <t>ORD1243</t>
  </si>
  <si>
    <t>ORD1244</t>
  </si>
  <si>
    <t>2024-04-04</t>
  </si>
  <si>
    <t>ORD1245</t>
  </si>
  <si>
    <t>2024-05-01</t>
  </si>
  <si>
    <t>ORD1246</t>
  </si>
  <si>
    <t>2024-06-07</t>
  </si>
  <si>
    <t>ORD1247</t>
  </si>
  <si>
    <t>ORD1248</t>
  </si>
  <si>
    <t>2024-08-14</t>
  </si>
  <si>
    <t>ORD1249</t>
  </si>
  <si>
    <t>2024-09-15</t>
  </si>
  <si>
    <t>ORD1250</t>
  </si>
  <si>
    <t>2024-10-28</t>
  </si>
  <si>
    <t>ORD1251</t>
  </si>
  <si>
    <t>ORD1252</t>
  </si>
  <si>
    <t>ORD1253</t>
  </si>
  <si>
    <t>2024-01-05</t>
  </si>
  <si>
    <t>ORD1254</t>
  </si>
  <si>
    <t>ORD1255</t>
  </si>
  <si>
    <t>ORD1256</t>
  </si>
  <si>
    <t>2024-04-14</t>
  </si>
  <si>
    <t>ORD1257</t>
  </si>
  <si>
    <t>ORD1258</t>
  </si>
  <si>
    <t>ORD1259</t>
  </si>
  <si>
    <t>ORD1260</t>
  </si>
  <si>
    <t>2024-08-26</t>
  </si>
  <si>
    <t>ORD1261</t>
  </si>
  <si>
    <t>ORD1262</t>
  </si>
  <si>
    <t>ORD1263</t>
  </si>
  <si>
    <t>ORD1264</t>
  </si>
  <si>
    <t>2024-12-11</t>
  </si>
  <si>
    <t>ORD1265</t>
  </si>
  <si>
    <t>2024-01-27</t>
  </si>
  <si>
    <t>ORD1266</t>
  </si>
  <si>
    <t>ORD1267</t>
  </si>
  <si>
    <t>2024-03-01</t>
  </si>
  <si>
    <t>ORD1268</t>
  </si>
  <si>
    <t>2024-04-22</t>
  </si>
  <si>
    <t>ORD1269</t>
  </si>
  <si>
    <t>2024-05-05</t>
  </si>
  <si>
    <t>ORD1270</t>
  </si>
  <si>
    <t>ORD1271</t>
  </si>
  <si>
    <t>2024-07-05</t>
  </si>
  <si>
    <t>ORD1272</t>
  </si>
  <si>
    <t>ORD1273</t>
  </si>
  <si>
    <t>ORD1274</t>
  </si>
  <si>
    <t>2024-10-22</t>
  </si>
  <si>
    <t>ORD1275</t>
  </si>
  <si>
    <t>ORD1276</t>
  </si>
  <si>
    <t>ORD1277</t>
  </si>
  <si>
    <t>ORD1278</t>
  </si>
  <si>
    <t>ORD1279</t>
  </si>
  <si>
    <t>ORD1280</t>
  </si>
  <si>
    <t>2024-04-24</t>
  </si>
  <si>
    <t>ORD1281</t>
  </si>
  <si>
    <t>2024-05-27</t>
  </si>
  <si>
    <t>ORD1282</t>
  </si>
  <si>
    <t>2024-06-03</t>
  </si>
  <si>
    <t>ORD1283</t>
  </si>
  <si>
    <t>ORD1284</t>
  </si>
  <si>
    <t>ORD1285</t>
  </si>
  <si>
    <t>ORD1286</t>
  </si>
  <si>
    <t>ORD1287</t>
  </si>
  <si>
    <t>2024-11-26</t>
  </si>
  <si>
    <t>ORD1288</t>
  </si>
  <si>
    <t>ORD1289</t>
  </si>
  <si>
    <t>2024-01-04</t>
  </si>
  <si>
    <t>ORD1290</t>
  </si>
  <si>
    <t>ORD1291</t>
  </si>
  <si>
    <t>2024-03-19</t>
  </si>
  <si>
    <t>ORD1292</t>
  </si>
  <si>
    <t>ORD1293</t>
  </si>
  <si>
    <t>ORD1294</t>
  </si>
  <si>
    <t>ORD1295</t>
  </si>
  <si>
    <t>2024-07-09</t>
  </si>
  <si>
    <t>ORD1296</t>
  </si>
  <si>
    <t>2024-08-02</t>
  </si>
  <si>
    <t>ORD1297</t>
  </si>
  <si>
    <t>ORD1298</t>
  </si>
  <si>
    <t>ORD1299</t>
  </si>
  <si>
    <t>2024-11-15</t>
  </si>
  <si>
    <t>ORD1300</t>
  </si>
  <si>
    <t>2024-12-05</t>
  </si>
  <si>
    <t>Total_Orders</t>
  </si>
  <si>
    <t>Total_Revenue</t>
  </si>
  <si>
    <t>Total_Net_Revenue</t>
  </si>
  <si>
    <t>Achievement_%</t>
  </si>
  <si>
    <t>Returns</t>
  </si>
  <si>
    <t>Return_Rate_%</t>
  </si>
  <si>
    <t>MoM_Growth_%</t>
  </si>
  <si>
    <t>Avg_Order_Value</t>
  </si>
  <si>
    <t>Rank</t>
  </si>
  <si>
    <t>Avg_Unit_Price</t>
  </si>
  <si>
    <t>Revenue_Share_%</t>
  </si>
  <si>
    <t>Best_Channel</t>
  </si>
  <si>
    <t>Avg_Discount_%</t>
  </si>
  <si>
    <t>RETURN ANALYSIS — FY2024</t>
  </si>
  <si>
    <t>Return Reason</t>
  </si>
  <si>
    <t>Count</t>
  </si>
  <si>
    <t>% of Returns</t>
  </si>
  <si>
    <t>Return Rate %</t>
  </si>
  <si>
    <t>🛒  E-COMMERCE ORDER &amp; RETURNS DASHBOARD — FY2024</t>
  </si>
  <si>
    <t>Total Orders</t>
  </si>
  <si>
    <t>Total Revenue</t>
  </si>
  <si>
    <t>Net Revenue</t>
  </si>
  <si>
    <t>Avg Order Value</t>
  </si>
  <si>
    <t>Target Achv %</t>
  </si>
  <si>
    <t>Monthly Performance Summary</t>
  </si>
  <si>
    <t>Orders</t>
  </si>
  <si>
    <t>Target</t>
  </si>
  <si>
    <t>Achievement %</t>
  </si>
  <si>
    <t>Return Rate</t>
  </si>
  <si>
    <t>MoM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</si>
</sst>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F4E79"/>
      <name val="Arial"/>
      <charset val="1"/>
    </font>
    <font>
      <b/>
      <sz val="12"/>
      <color rgb="FFFFFFFF"/>
      <name val="Arial"/>
      <charset val="1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5" fontId="0" fillId="0" borderId="8" xfId="0" applyNumberFormat="1" applyBorder="1"/>
    <xf numFmtId="0" fontId="0" fillId="0" borderId="9" xfId="0" applyBorder="1"/>
    <xf numFmtId="0" fontId="0" fillId="3" borderId="7" xfId="0" applyFill="1" applyBorder="1"/>
    <xf numFmtId="0" fontId="0" fillId="3" borderId="8" xfId="0" applyFill="1" applyBorder="1"/>
    <xf numFmtId="164" fontId="0" fillId="3" borderId="8" xfId="0" applyNumberFormat="1" applyFill="1" applyBorder="1"/>
    <xf numFmtId="165" fontId="0" fillId="3" borderId="8" xfId="0" applyNumberFormat="1" applyFill="1" applyBorder="1"/>
    <xf numFmtId="0" fontId="0" fillId="3" borderId="9" xfId="0" applyFill="1" applyBorder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6" borderId="0" xfId="0" applyFont="1" applyFill="1"/>
  </cellXfs>
  <cellStyles count="1">
    <cellStyle name="Normal" xfId="0" builtinId="0"/>
  </cellStyles>
  <dxfs count="26">
    <dxf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0.0%"/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0.0%"/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DEEAF1"/>
          <bgColor rgb="FFD6E4F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DEEAF1"/>
          <bgColor rgb="FFD6E4F0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rgb="FFDEEAF1"/>
          <bgColor rgb="FFD6E4F0"/>
        </patternFill>
      </fill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5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64" formatCode="\₹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F3DC6F-704A-4556-B152-270D5DE2FF4B}" name="Table6" displayName="Table6" ref="A1:H9" totalsRowShown="0" headerRowDxfId="25" headerRowBorderDxfId="24" tableBorderDxfId="23" totalsRowBorderDxfId="22">
  <autoFilter ref="A1:H9" xr:uid="{3CF3DC6F-704A-4556-B152-270D5DE2FF4B}"/>
  <sortState xmlns:xlrd2="http://schemas.microsoft.com/office/spreadsheetml/2017/richdata2" ref="A2:H9">
    <sortCondition descending="1" ref="D1:D9"/>
  </sortState>
  <tableColumns count="8">
    <tableColumn id="1" xr3:uid="{72D4C18A-CD4B-4519-8998-90DF3A682C5B}" name="City" dataDxfId="21"/>
    <tableColumn id="2" xr3:uid="{C84A7D24-D724-43FB-84DE-EC274DA45A0A}" name="Total_Orders" dataDxfId="20">
      <calculatedColumnFormula>COUNTIF(Raw_Data!E:E,A2)</calculatedColumnFormula>
    </tableColumn>
    <tableColumn id="3" xr3:uid="{D2B10965-B09C-4E7C-B9BF-5C04FFB4637C}" name="Total_Revenue" dataDxfId="19">
      <calculatedColumnFormula>SUMIF(Raw_Data!E:E,A2,Raw_Data!K:K)</calculatedColumnFormula>
    </tableColumn>
    <tableColumn id="4" xr3:uid="{9EC8268E-8645-4ABD-AFB7-3794F0BC63BC}" name="Net_Revenue" dataDxfId="18">
      <calculatedColumnFormula>SUMIF(Raw_Data!E:E,A2,Raw_Data!M:M)</calculatedColumnFormula>
    </tableColumn>
    <tableColumn id="5" xr3:uid="{029B0196-1D45-4947-A494-5B9B653106BD}" name="Returns" dataDxfId="17">
      <calculatedColumnFormula>COUNTIFS(Raw_Data!E:E,A2,Raw_Data!O:O,"Returned")</calculatedColumnFormula>
    </tableColumn>
    <tableColumn id="6" xr3:uid="{D4B8B5DC-DA4F-48A0-9AA2-A38168F957E2}" name="Return_Rate_%" dataDxfId="16">
      <calculatedColumnFormula>IFERROR(E2/B2,0)</calculatedColumnFormula>
    </tableColumn>
    <tableColumn id="7" xr3:uid="{4C68B8F9-A4C2-435A-B1EF-50809A3D66B6}" name="Avg_Order_Value" dataDxfId="15">
      <calculatedColumnFormula>IFERROR(C2/B2,0)</calculatedColumnFormula>
    </tableColumn>
    <tableColumn id="8" xr3:uid="{D7D7077C-DBF9-47A4-BA41-3F9ABF1DFDAB}" name="Rank" dataDxfId="14">
      <calculatedColumnFormula>RANK(C2,$C$2:$C$9,0)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A06DBC-FCA0-4453-8086-D61353E67422}" name="Table8" displayName="Table8" ref="A1:I6" totalsRowShown="0" headerRowDxfId="13" dataDxfId="11" headerRowBorderDxfId="12" tableBorderDxfId="10" totalsRowBorderDxfId="9">
  <autoFilter ref="A1:I6" xr:uid="{01A06DBC-FCA0-4453-8086-D61353E67422}"/>
  <sortState xmlns:xlrd2="http://schemas.microsoft.com/office/spreadsheetml/2017/richdata2" ref="A2:I6">
    <sortCondition descending="1" ref="D1:D6"/>
  </sortState>
  <tableColumns count="9">
    <tableColumn id="1" xr3:uid="{2B2E0487-CC1E-4A44-97F2-157F84F69790}" name="Category" dataDxfId="8"/>
    <tableColumn id="2" xr3:uid="{C9ADAE3E-2A6A-41E5-9C53-4186D17AAF2F}" name="Total_Orders" dataDxfId="7">
      <calculatedColumnFormula>COUNTIF(Raw_Data!F:F,A2)</calculatedColumnFormula>
    </tableColumn>
    <tableColumn id="3" xr3:uid="{F0D9931C-92C3-46C8-8CA0-B9400CFE87F4}" name="Revenue" dataDxfId="6">
      <calculatedColumnFormula>SUMIF(Raw_Data!F:F,A2,Raw_Data!K:K)</calculatedColumnFormula>
    </tableColumn>
    <tableColumn id="4" xr3:uid="{A12A2073-6D07-4A2A-931C-F2E78320094C}" name="Net_Revenue" dataDxfId="5">
      <calculatedColumnFormula>SUMIF(Raw_Data!F:F,A2,Raw_Data!M:M)</calculatedColumnFormula>
    </tableColumn>
    <tableColumn id="5" xr3:uid="{1A3FBAE5-305C-4642-A310-024B3DC0131C}" name="Units_Sold" dataDxfId="4">
      <calculatedColumnFormula>SUMIF(Raw_Data!F:F,A2,Raw_Data!I:I)</calculatedColumnFormula>
    </tableColumn>
    <tableColumn id="6" xr3:uid="{2C69DE36-F8A7-4395-B813-5266F5DA064E}" name="Avg_Unit_Price" dataDxfId="3">
      <calculatedColumnFormula>IFERROR(C2/B2,0)</calculatedColumnFormula>
    </tableColumn>
    <tableColumn id="7" xr3:uid="{EAF41C4B-EE06-445E-B1ED-6E390A6F18CF}" name="Revenue_Share_%" dataDxfId="2">
      <calculatedColumnFormula>IFERROR(C2/SUM($C$2:$C$6),0)</calculatedColumnFormula>
    </tableColumn>
    <tableColumn id="8" xr3:uid="{CBE4134F-3113-49D1-B419-F232DFE3C3F5}" name="Return_Rate_%" dataDxfId="1">
      <calculatedColumnFormula>IFERROR(COUNTIFS(Raw_Data!F:F,A2,Raw_Data!O:O,"Returned")/B2,0)</calculatedColumnFormula>
    </tableColumn>
    <tableColumn id="9" xr3:uid="{D9B0B7AD-44B7-4E6B-A3E6-6144E9CBFBE2}" name="Best_Channel" dataDxfId="0">
      <calculatedColumnFormula>IFERROR(INDEX(Raw_Data!H:H,MATCH(_xludf.maxifs(Raw_Data!K:K,Raw_Data!F:F,A2),Raw_Data!K:K,0)),"N/A")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D1" zoomScaleNormal="100" workbookViewId="0">
      <pane ySplit="1" topLeftCell="A2" activePane="bottomLeft" state="frozen"/>
      <selection pane="bottomLeft" activeCell="F5" sqref="F5"/>
    </sheetView>
  </sheetViews>
  <sheetFormatPr defaultColWidth="8.6640625" defaultRowHeight="14.4" x14ac:dyDescent="0.3"/>
  <cols>
    <col min="1" max="1" width="9.6640625" bestFit="1" customWidth="1"/>
    <col min="2" max="2" width="7" bestFit="1" customWidth="1"/>
    <col min="3" max="3" width="10.77734375" bestFit="1" customWidth="1"/>
    <col min="4" max="4" width="10.33203125" bestFit="1" customWidth="1"/>
    <col min="5" max="5" width="10.6640625" bestFit="1" customWidth="1"/>
    <col min="6" max="6" width="14.21875" bestFit="1" customWidth="1"/>
    <col min="7" max="7" width="16" bestFit="1" customWidth="1"/>
    <col min="8" max="8" width="11.21875" bestFit="1" customWidth="1"/>
    <col min="9" max="9" width="11.44140625" bestFit="1" customWidth="1"/>
    <col min="10" max="10" width="11" bestFit="1" customWidth="1"/>
    <col min="11" max="11" width="9.77734375" bestFit="1" customWidth="1"/>
    <col min="12" max="12" width="12.5546875" bestFit="1" customWidth="1"/>
    <col min="13" max="13" width="14.33203125" bestFit="1" customWidth="1"/>
    <col min="14" max="14" width="15.33203125" bestFit="1" customWidth="1"/>
    <col min="15" max="15" width="13.88671875" bestFit="1" customWidth="1"/>
    <col min="16" max="16" width="16.21875" bestFit="1" customWidth="1"/>
    <col min="17" max="17" width="16.109375" bestFit="1" customWidth="1"/>
    <col min="18" max="18" width="17.33203125" bestFit="1" customWidth="1"/>
  </cols>
  <sheetData>
    <row r="1" spans="1:18" ht="15" customHeight="1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</row>
    <row r="2" spans="1:18" ht="15" customHeight="1" x14ac:dyDescent="0.3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4</v>
      </c>
      <c r="J2">
        <v>799</v>
      </c>
      <c r="K2">
        <v>3196</v>
      </c>
      <c r="L2">
        <v>0</v>
      </c>
      <c r="M2">
        <v>3196</v>
      </c>
      <c r="N2">
        <v>9</v>
      </c>
      <c r="O2" t="s">
        <v>25</v>
      </c>
      <c r="P2" t="s">
        <v>26</v>
      </c>
      <c r="R2">
        <v>2700</v>
      </c>
    </row>
    <row r="3" spans="1:18" ht="15" customHeight="1" x14ac:dyDescent="0.3">
      <c r="A3" t="s">
        <v>27</v>
      </c>
      <c r="B3" t="s">
        <v>28</v>
      </c>
      <c r="C3">
        <v>2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4</v>
      </c>
      <c r="J3">
        <v>24999</v>
      </c>
      <c r="K3">
        <v>99996</v>
      </c>
      <c r="L3">
        <v>20</v>
      </c>
      <c r="M3">
        <v>79996.800000000003</v>
      </c>
      <c r="N3">
        <v>7</v>
      </c>
      <c r="O3" t="s">
        <v>25</v>
      </c>
      <c r="P3" t="s">
        <v>34</v>
      </c>
      <c r="R3">
        <v>74700</v>
      </c>
    </row>
    <row r="4" spans="1:18" ht="15" customHeight="1" x14ac:dyDescent="0.3">
      <c r="A4" t="s">
        <v>35</v>
      </c>
      <c r="B4" t="s">
        <v>36</v>
      </c>
      <c r="C4">
        <v>3</v>
      </c>
      <c r="D4" t="s">
        <v>37</v>
      </c>
      <c r="E4" t="s">
        <v>38</v>
      </c>
      <c r="F4" t="s">
        <v>22</v>
      </c>
      <c r="G4" t="s">
        <v>39</v>
      </c>
      <c r="H4" t="s">
        <v>40</v>
      </c>
      <c r="I4">
        <v>5</v>
      </c>
      <c r="J4">
        <v>799</v>
      </c>
      <c r="K4">
        <v>3995</v>
      </c>
      <c r="L4">
        <v>5</v>
      </c>
      <c r="M4">
        <v>3795.25</v>
      </c>
      <c r="N4">
        <v>6</v>
      </c>
      <c r="O4" t="s">
        <v>25</v>
      </c>
      <c r="P4" t="s">
        <v>26</v>
      </c>
      <c r="R4">
        <v>3300</v>
      </c>
    </row>
    <row r="5" spans="1:18" ht="15" customHeight="1" x14ac:dyDescent="0.3">
      <c r="A5" t="s">
        <v>41</v>
      </c>
      <c r="B5" t="s">
        <v>42</v>
      </c>
      <c r="C5">
        <v>4</v>
      </c>
      <c r="D5" t="s">
        <v>43</v>
      </c>
      <c r="E5" t="s">
        <v>21</v>
      </c>
      <c r="F5" t="s">
        <v>44</v>
      </c>
      <c r="G5" t="s">
        <v>45</v>
      </c>
      <c r="H5" t="s">
        <v>24</v>
      </c>
      <c r="I5">
        <v>12</v>
      </c>
      <c r="J5">
        <v>4999</v>
      </c>
      <c r="K5">
        <v>59988</v>
      </c>
      <c r="L5">
        <v>20</v>
      </c>
      <c r="M5">
        <v>47990.400000000001</v>
      </c>
      <c r="N5">
        <v>2</v>
      </c>
      <c r="O5" t="s">
        <v>46</v>
      </c>
      <c r="P5" t="s">
        <v>26</v>
      </c>
      <c r="R5">
        <v>41900</v>
      </c>
    </row>
    <row r="6" spans="1:18" ht="15" customHeight="1" x14ac:dyDescent="0.3">
      <c r="A6" t="s">
        <v>47</v>
      </c>
      <c r="B6" t="s">
        <v>48</v>
      </c>
      <c r="C6">
        <v>5</v>
      </c>
      <c r="D6" t="s">
        <v>49</v>
      </c>
      <c r="E6" t="s">
        <v>50</v>
      </c>
      <c r="F6" t="s">
        <v>51</v>
      </c>
      <c r="G6" t="s">
        <v>52</v>
      </c>
      <c r="H6" t="s">
        <v>33</v>
      </c>
      <c r="I6">
        <v>2</v>
      </c>
      <c r="J6">
        <v>299</v>
      </c>
      <c r="K6">
        <v>598</v>
      </c>
      <c r="L6">
        <v>5</v>
      </c>
      <c r="M6">
        <v>568.1</v>
      </c>
      <c r="N6">
        <v>5</v>
      </c>
      <c r="O6" t="s">
        <v>46</v>
      </c>
      <c r="P6" t="s">
        <v>53</v>
      </c>
      <c r="R6">
        <v>600</v>
      </c>
    </row>
    <row r="7" spans="1:18" ht="15" customHeight="1" x14ac:dyDescent="0.3">
      <c r="A7" t="s">
        <v>54</v>
      </c>
      <c r="B7" t="s">
        <v>55</v>
      </c>
      <c r="C7">
        <v>6</v>
      </c>
      <c r="D7" t="s">
        <v>56</v>
      </c>
      <c r="E7" t="s">
        <v>57</v>
      </c>
      <c r="F7" t="s">
        <v>44</v>
      </c>
      <c r="G7" t="s">
        <v>58</v>
      </c>
      <c r="H7" t="s">
        <v>24</v>
      </c>
      <c r="I7">
        <v>6</v>
      </c>
      <c r="J7">
        <v>1999</v>
      </c>
      <c r="K7">
        <v>11994</v>
      </c>
      <c r="L7">
        <v>5</v>
      </c>
      <c r="M7">
        <v>11394.3</v>
      </c>
      <c r="N7">
        <v>5</v>
      </c>
      <c r="O7" t="s">
        <v>59</v>
      </c>
      <c r="P7" t="s">
        <v>60</v>
      </c>
      <c r="Q7" t="s">
        <v>61</v>
      </c>
      <c r="R7">
        <v>11900</v>
      </c>
    </row>
    <row r="8" spans="1:18" ht="15" customHeight="1" x14ac:dyDescent="0.3">
      <c r="A8" t="s">
        <v>62</v>
      </c>
      <c r="B8" t="s">
        <v>63</v>
      </c>
      <c r="C8">
        <v>7</v>
      </c>
      <c r="D8" t="s">
        <v>64</v>
      </c>
      <c r="E8" t="s">
        <v>65</v>
      </c>
      <c r="F8" t="s">
        <v>31</v>
      </c>
      <c r="G8" t="s">
        <v>32</v>
      </c>
      <c r="H8" t="s">
        <v>40</v>
      </c>
      <c r="I8">
        <v>5</v>
      </c>
      <c r="J8">
        <v>24999</v>
      </c>
      <c r="K8">
        <v>124995</v>
      </c>
      <c r="L8">
        <v>20</v>
      </c>
      <c r="M8">
        <v>99996</v>
      </c>
      <c r="N8">
        <v>4</v>
      </c>
      <c r="O8" t="s">
        <v>25</v>
      </c>
      <c r="P8" t="s">
        <v>60</v>
      </c>
      <c r="R8">
        <v>91900</v>
      </c>
    </row>
    <row r="9" spans="1:18" ht="15" customHeight="1" x14ac:dyDescent="0.3">
      <c r="A9" t="s">
        <v>66</v>
      </c>
      <c r="B9" t="s">
        <v>67</v>
      </c>
      <c r="C9">
        <v>8</v>
      </c>
      <c r="D9" t="s">
        <v>68</v>
      </c>
      <c r="E9" t="s">
        <v>21</v>
      </c>
      <c r="F9" t="s">
        <v>44</v>
      </c>
      <c r="G9" t="s">
        <v>58</v>
      </c>
      <c r="H9" t="s">
        <v>24</v>
      </c>
      <c r="I9">
        <v>4</v>
      </c>
      <c r="J9">
        <v>12999</v>
      </c>
      <c r="K9">
        <v>51996</v>
      </c>
      <c r="L9">
        <v>10</v>
      </c>
      <c r="M9">
        <v>46796.4</v>
      </c>
      <c r="N9">
        <v>4</v>
      </c>
      <c r="O9" t="s">
        <v>25</v>
      </c>
      <c r="P9" t="s">
        <v>26</v>
      </c>
      <c r="R9">
        <v>52200</v>
      </c>
    </row>
    <row r="10" spans="1:18" ht="15" customHeight="1" x14ac:dyDescent="0.3">
      <c r="A10" t="s">
        <v>69</v>
      </c>
      <c r="B10" t="s">
        <v>70</v>
      </c>
      <c r="C10">
        <v>9</v>
      </c>
      <c r="D10" t="s">
        <v>71</v>
      </c>
      <c r="E10" t="s">
        <v>21</v>
      </c>
      <c r="F10" t="s">
        <v>72</v>
      </c>
      <c r="G10" t="s">
        <v>73</v>
      </c>
      <c r="H10" t="s">
        <v>24</v>
      </c>
      <c r="I10">
        <v>4</v>
      </c>
      <c r="J10">
        <v>7999</v>
      </c>
      <c r="K10">
        <v>31996</v>
      </c>
      <c r="L10">
        <v>20</v>
      </c>
      <c r="M10">
        <v>25596.799999999999</v>
      </c>
      <c r="N10">
        <v>5</v>
      </c>
      <c r="O10" t="s">
        <v>59</v>
      </c>
      <c r="P10" t="s">
        <v>26</v>
      </c>
      <c r="Q10" t="s">
        <v>61</v>
      </c>
      <c r="R10">
        <v>24800</v>
      </c>
    </row>
    <row r="11" spans="1:18" ht="15" customHeight="1" x14ac:dyDescent="0.3">
      <c r="A11" t="s">
        <v>74</v>
      </c>
      <c r="B11" t="s">
        <v>75</v>
      </c>
      <c r="C11">
        <v>10</v>
      </c>
      <c r="D11" t="s">
        <v>76</v>
      </c>
      <c r="E11" t="s">
        <v>65</v>
      </c>
      <c r="F11" t="s">
        <v>31</v>
      </c>
      <c r="G11" t="s">
        <v>77</v>
      </c>
      <c r="H11" t="s">
        <v>24</v>
      </c>
      <c r="I11">
        <v>13</v>
      </c>
      <c r="J11">
        <v>299</v>
      </c>
      <c r="K11">
        <v>3887</v>
      </c>
      <c r="L11">
        <v>0</v>
      </c>
      <c r="M11">
        <v>3887</v>
      </c>
      <c r="N11">
        <v>3</v>
      </c>
      <c r="O11" t="s">
        <v>25</v>
      </c>
      <c r="P11" t="s">
        <v>26</v>
      </c>
      <c r="R11">
        <v>4000</v>
      </c>
    </row>
    <row r="12" spans="1:18" ht="15" customHeight="1" x14ac:dyDescent="0.3">
      <c r="A12" t="s">
        <v>78</v>
      </c>
      <c r="B12" t="s">
        <v>79</v>
      </c>
      <c r="C12">
        <v>11</v>
      </c>
      <c r="D12" t="s">
        <v>80</v>
      </c>
      <c r="E12" t="s">
        <v>65</v>
      </c>
      <c r="F12" t="s">
        <v>72</v>
      </c>
      <c r="G12" t="s">
        <v>81</v>
      </c>
      <c r="H12" t="s">
        <v>33</v>
      </c>
      <c r="I12">
        <v>5</v>
      </c>
      <c r="J12">
        <v>7999</v>
      </c>
      <c r="K12">
        <v>39995</v>
      </c>
      <c r="L12">
        <v>0</v>
      </c>
      <c r="M12">
        <v>39995</v>
      </c>
      <c r="N12">
        <v>2</v>
      </c>
      <c r="O12" t="s">
        <v>25</v>
      </c>
      <c r="P12" t="s">
        <v>34</v>
      </c>
      <c r="R12">
        <v>43000</v>
      </c>
    </row>
    <row r="13" spans="1:18" ht="15" customHeight="1" x14ac:dyDescent="0.3">
      <c r="A13" t="s">
        <v>82</v>
      </c>
      <c r="B13" t="s">
        <v>83</v>
      </c>
      <c r="C13">
        <v>12</v>
      </c>
      <c r="D13" t="s">
        <v>84</v>
      </c>
      <c r="E13" t="s">
        <v>21</v>
      </c>
      <c r="F13" t="s">
        <v>44</v>
      </c>
      <c r="G13" t="s">
        <v>85</v>
      </c>
      <c r="H13" t="s">
        <v>40</v>
      </c>
      <c r="I13">
        <v>3</v>
      </c>
      <c r="J13">
        <v>4999</v>
      </c>
      <c r="K13">
        <v>14997</v>
      </c>
      <c r="L13">
        <v>0</v>
      </c>
      <c r="M13">
        <v>14997</v>
      </c>
      <c r="N13">
        <v>5</v>
      </c>
      <c r="O13" t="s">
        <v>46</v>
      </c>
      <c r="P13" t="s">
        <v>53</v>
      </c>
      <c r="R13">
        <v>15000</v>
      </c>
    </row>
    <row r="14" spans="1:18" ht="15" customHeight="1" x14ac:dyDescent="0.3">
      <c r="A14" t="s">
        <v>86</v>
      </c>
      <c r="B14" t="s">
        <v>19</v>
      </c>
      <c r="C14">
        <v>1</v>
      </c>
      <c r="D14" t="s">
        <v>87</v>
      </c>
      <c r="E14" t="s">
        <v>50</v>
      </c>
      <c r="F14" t="s">
        <v>44</v>
      </c>
      <c r="G14" t="s">
        <v>45</v>
      </c>
      <c r="H14" t="s">
        <v>24</v>
      </c>
      <c r="I14">
        <v>6</v>
      </c>
      <c r="J14">
        <v>799</v>
      </c>
      <c r="K14">
        <v>4794</v>
      </c>
      <c r="L14">
        <v>20</v>
      </c>
      <c r="M14">
        <v>3835.2</v>
      </c>
      <c r="N14">
        <v>9</v>
      </c>
      <c r="O14" t="s">
        <v>88</v>
      </c>
      <c r="P14" t="s">
        <v>34</v>
      </c>
      <c r="R14">
        <v>3600</v>
      </c>
    </row>
    <row r="15" spans="1:18" ht="15" customHeight="1" x14ac:dyDescent="0.3">
      <c r="A15" t="s">
        <v>89</v>
      </c>
      <c r="B15" t="s">
        <v>28</v>
      </c>
      <c r="C15">
        <v>2</v>
      </c>
      <c r="D15" t="s">
        <v>90</v>
      </c>
      <c r="E15" t="s">
        <v>21</v>
      </c>
      <c r="F15" t="s">
        <v>22</v>
      </c>
      <c r="G15" t="s">
        <v>91</v>
      </c>
      <c r="H15" t="s">
        <v>24</v>
      </c>
      <c r="I15">
        <v>1</v>
      </c>
      <c r="J15">
        <v>999</v>
      </c>
      <c r="K15">
        <v>999</v>
      </c>
      <c r="L15">
        <v>20</v>
      </c>
      <c r="M15">
        <v>799.2</v>
      </c>
      <c r="N15">
        <v>2</v>
      </c>
      <c r="O15" t="s">
        <v>25</v>
      </c>
      <c r="P15" t="s">
        <v>26</v>
      </c>
      <c r="R15">
        <v>900</v>
      </c>
    </row>
    <row r="16" spans="1:18" ht="15" customHeight="1" x14ac:dyDescent="0.3">
      <c r="A16" t="s">
        <v>92</v>
      </c>
      <c r="B16" t="s">
        <v>36</v>
      </c>
      <c r="C16">
        <v>3</v>
      </c>
      <c r="D16" t="s">
        <v>93</v>
      </c>
      <c r="E16" t="s">
        <v>94</v>
      </c>
      <c r="F16" t="s">
        <v>51</v>
      </c>
      <c r="G16" t="s">
        <v>95</v>
      </c>
      <c r="H16" t="s">
        <v>33</v>
      </c>
      <c r="I16">
        <v>8</v>
      </c>
      <c r="J16">
        <v>7999</v>
      </c>
      <c r="K16">
        <v>63992</v>
      </c>
      <c r="L16">
        <v>5</v>
      </c>
      <c r="M16">
        <v>60792.4</v>
      </c>
      <c r="N16">
        <v>5</v>
      </c>
      <c r="O16" t="s">
        <v>25</v>
      </c>
      <c r="P16" t="s">
        <v>34</v>
      </c>
      <c r="R16">
        <v>59400</v>
      </c>
    </row>
    <row r="17" spans="1:18" ht="15" customHeight="1" x14ac:dyDescent="0.3">
      <c r="A17" t="s">
        <v>96</v>
      </c>
      <c r="B17" t="s">
        <v>42</v>
      </c>
      <c r="C17">
        <v>4</v>
      </c>
      <c r="D17" t="s">
        <v>97</v>
      </c>
      <c r="E17" t="s">
        <v>21</v>
      </c>
      <c r="F17" t="s">
        <v>51</v>
      </c>
      <c r="G17" t="s">
        <v>95</v>
      </c>
      <c r="H17" t="s">
        <v>40</v>
      </c>
      <c r="I17">
        <v>11</v>
      </c>
      <c r="J17">
        <v>24999</v>
      </c>
      <c r="K17">
        <v>274989</v>
      </c>
      <c r="L17">
        <v>10</v>
      </c>
      <c r="M17">
        <v>247490.1</v>
      </c>
      <c r="N17">
        <v>8</v>
      </c>
      <c r="O17" t="s">
        <v>88</v>
      </c>
      <c r="P17" t="s">
        <v>26</v>
      </c>
      <c r="R17">
        <v>219400</v>
      </c>
    </row>
    <row r="18" spans="1:18" ht="15" customHeight="1" x14ac:dyDescent="0.3">
      <c r="A18" t="s">
        <v>98</v>
      </c>
      <c r="B18" t="s">
        <v>48</v>
      </c>
      <c r="C18">
        <v>5</v>
      </c>
      <c r="D18" t="s">
        <v>99</v>
      </c>
      <c r="E18" t="s">
        <v>30</v>
      </c>
      <c r="F18" t="s">
        <v>22</v>
      </c>
      <c r="G18" t="s">
        <v>91</v>
      </c>
      <c r="H18" t="s">
        <v>33</v>
      </c>
      <c r="I18">
        <v>9</v>
      </c>
      <c r="J18">
        <v>999</v>
      </c>
      <c r="K18">
        <v>8991</v>
      </c>
      <c r="L18">
        <v>20</v>
      </c>
      <c r="M18">
        <v>7192.8</v>
      </c>
      <c r="N18">
        <v>4</v>
      </c>
      <c r="O18" t="s">
        <v>25</v>
      </c>
      <c r="P18" t="s">
        <v>60</v>
      </c>
      <c r="R18">
        <v>6600</v>
      </c>
    </row>
    <row r="19" spans="1:18" ht="15" customHeight="1" x14ac:dyDescent="0.3">
      <c r="A19" t="s">
        <v>100</v>
      </c>
      <c r="B19" t="s">
        <v>55</v>
      </c>
      <c r="C19">
        <v>6</v>
      </c>
      <c r="D19" t="s">
        <v>101</v>
      </c>
      <c r="E19" t="s">
        <v>50</v>
      </c>
      <c r="F19" t="s">
        <v>44</v>
      </c>
      <c r="G19" t="s">
        <v>85</v>
      </c>
      <c r="H19" t="s">
        <v>40</v>
      </c>
      <c r="I19">
        <v>11</v>
      </c>
      <c r="J19">
        <v>4999</v>
      </c>
      <c r="K19">
        <v>54989</v>
      </c>
      <c r="L19">
        <v>5</v>
      </c>
      <c r="M19">
        <v>52239.55</v>
      </c>
      <c r="N19">
        <v>9</v>
      </c>
      <c r="O19" t="s">
        <v>25</v>
      </c>
      <c r="P19" t="s">
        <v>34</v>
      </c>
      <c r="R19">
        <v>53400</v>
      </c>
    </row>
    <row r="20" spans="1:18" ht="15" customHeight="1" x14ac:dyDescent="0.3">
      <c r="A20" t="s">
        <v>102</v>
      </c>
      <c r="B20" t="s">
        <v>63</v>
      </c>
      <c r="C20">
        <v>7</v>
      </c>
      <c r="D20" t="s">
        <v>64</v>
      </c>
      <c r="E20" t="s">
        <v>50</v>
      </c>
      <c r="F20" t="s">
        <v>72</v>
      </c>
      <c r="G20" t="s">
        <v>103</v>
      </c>
      <c r="H20" t="s">
        <v>24</v>
      </c>
      <c r="I20">
        <v>2</v>
      </c>
      <c r="J20">
        <v>24999</v>
      </c>
      <c r="K20">
        <v>49998</v>
      </c>
      <c r="L20">
        <v>15</v>
      </c>
      <c r="M20">
        <v>42498.3</v>
      </c>
      <c r="N20">
        <v>6</v>
      </c>
      <c r="O20" t="s">
        <v>25</v>
      </c>
      <c r="P20" t="s">
        <v>26</v>
      </c>
      <c r="R20">
        <v>47100</v>
      </c>
    </row>
    <row r="21" spans="1:18" ht="15" customHeight="1" x14ac:dyDescent="0.3">
      <c r="A21" t="s">
        <v>104</v>
      </c>
      <c r="B21" t="s">
        <v>67</v>
      </c>
      <c r="C21">
        <v>8</v>
      </c>
      <c r="D21" t="s">
        <v>105</v>
      </c>
      <c r="E21" t="s">
        <v>38</v>
      </c>
      <c r="F21" t="s">
        <v>22</v>
      </c>
      <c r="G21" t="s">
        <v>23</v>
      </c>
      <c r="H21" t="s">
        <v>33</v>
      </c>
      <c r="I21">
        <v>6</v>
      </c>
      <c r="J21">
        <v>499</v>
      </c>
      <c r="K21">
        <v>2994</v>
      </c>
      <c r="L21">
        <v>5</v>
      </c>
      <c r="M21">
        <v>2844.3</v>
      </c>
      <c r="N21">
        <v>4</v>
      </c>
      <c r="O21" t="s">
        <v>25</v>
      </c>
      <c r="P21" t="s">
        <v>26</v>
      </c>
      <c r="R21">
        <v>2500</v>
      </c>
    </row>
    <row r="22" spans="1:18" ht="15" customHeight="1" x14ac:dyDescent="0.3">
      <c r="A22" t="s">
        <v>106</v>
      </c>
      <c r="B22" t="s">
        <v>70</v>
      </c>
      <c r="C22">
        <v>9</v>
      </c>
      <c r="D22" t="s">
        <v>107</v>
      </c>
      <c r="E22" t="s">
        <v>50</v>
      </c>
      <c r="F22" t="s">
        <v>44</v>
      </c>
      <c r="G22" t="s">
        <v>58</v>
      </c>
      <c r="H22" t="s">
        <v>24</v>
      </c>
      <c r="I22">
        <v>8</v>
      </c>
      <c r="J22">
        <v>7999</v>
      </c>
      <c r="K22">
        <v>63992</v>
      </c>
      <c r="L22">
        <v>0</v>
      </c>
      <c r="M22">
        <v>63992</v>
      </c>
      <c r="N22">
        <v>1</v>
      </c>
      <c r="O22" t="s">
        <v>25</v>
      </c>
      <c r="P22" t="s">
        <v>34</v>
      </c>
      <c r="R22">
        <v>70400</v>
      </c>
    </row>
    <row r="23" spans="1:18" ht="15" customHeight="1" x14ac:dyDescent="0.3">
      <c r="A23" t="s">
        <v>108</v>
      </c>
      <c r="B23" t="s">
        <v>75</v>
      </c>
      <c r="C23">
        <v>10</v>
      </c>
      <c r="D23" t="s">
        <v>109</v>
      </c>
      <c r="E23" t="s">
        <v>38</v>
      </c>
      <c r="F23" t="s">
        <v>31</v>
      </c>
      <c r="G23" t="s">
        <v>32</v>
      </c>
      <c r="H23" t="s">
        <v>40</v>
      </c>
      <c r="I23">
        <v>8</v>
      </c>
      <c r="J23">
        <v>999</v>
      </c>
      <c r="K23">
        <v>7992</v>
      </c>
      <c r="L23">
        <v>15</v>
      </c>
      <c r="M23">
        <v>6793.2</v>
      </c>
      <c r="N23">
        <v>1</v>
      </c>
      <c r="O23" t="s">
        <v>25</v>
      </c>
      <c r="P23" t="s">
        <v>60</v>
      </c>
      <c r="R23">
        <v>7800</v>
      </c>
    </row>
    <row r="24" spans="1:18" ht="15" customHeight="1" x14ac:dyDescent="0.3">
      <c r="A24" t="s">
        <v>110</v>
      </c>
      <c r="B24" t="s">
        <v>79</v>
      </c>
      <c r="C24">
        <v>11</v>
      </c>
      <c r="D24" t="s">
        <v>111</v>
      </c>
      <c r="E24" t="s">
        <v>38</v>
      </c>
      <c r="F24" t="s">
        <v>72</v>
      </c>
      <c r="G24" t="s">
        <v>112</v>
      </c>
      <c r="H24" t="s">
        <v>33</v>
      </c>
      <c r="I24">
        <v>12</v>
      </c>
      <c r="J24">
        <v>7999</v>
      </c>
      <c r="K24">
        <v>95988</v>
      </c>
      <c r="L24">
        <v>15</v>
      </c>
      <c r="M24">
        <v>81589.8</v>
      </c>
      <c r="N24">
        <v>3</v>
      </c>
      <c r="O24" t="s">
        <v>25</v>
      </c>
      <c r="P24" t="s">
        <v>53</v>
      </c>
      <c r="R24">
        <v>93100</v>
      </c>
    </row>
    <row r="25" spans="1:18" ht="15" customHeight="1" x14ac:dyDescent="0.3">
      <c r="A25" t="s">
        <v>113</v>
      </c>
      <c r="B25" t="s">
        <v>83</v>
      </c>
      <c r="C25">
        <v>12</v>
      </c>
      <c r="D25" t="s">
        <v>114</v>
      </c>
      <c r="E25" t="s">
        <v>57</v>
      </c>
      <c r="F25" t="s">
        <v>51</v>
      </c>
      <c r="G25" t="s">
        <v>115</v>
      </c>
      <c r="H25" t="s">
        <v>24</v>
      </c>
      <c r="I25">
        <v>1</v>
      </c>
      <c r="J25">
        <v>12999</v>
      </c>
      <c r="K25">
        <v>12999</v>
      </c>
      <c r="L25">
        <v>15</v>
      </c>
      <c r="M25">
        <v>11049.15</v>
      </c>
      <c r="N25">
        <v>9</v>
      </c>
      <c r="O25" t="s">
        <v>88</v>
      </c>
      <c r="P25" t="s">
        <v>34</v>
      </c>
      <c r="R25">
        <v>9900</v>
      </c>
    </row>
    <row r="26" spans="1:18" ht="15" customHeight="1" x14ac:dyDescent="0.3">
      <c r="A26" t="s">
        <v>116</v>
      </c>
      <c r="B26" t="s">
        <v>19</v>
      </c>
      <c r="C26">
        <v>1</v>
      </c>
      <c r="D26" t="s">
        <v>117</v>
      </c>
      <c r="E26" t="s">
        <v>118</v>
      </c>
      <c r="F26" t="s">
        <v>22</v>
      </c>
      <c r="G26" t="s">
        <v>39</v>
      </c>
      <c r="H26" t="s">
        <v>33</v>
      </c>
      <c r="I26">
        <v>2</v>
      </c>
      <c r="J26">
        <v>24999</v>
      </c>
      <c r="K26">
        <v>49998</v>
      </c>
      <c r="L26">
        <v>5</v>
      </c>
      <c r="M26">
        <v>47498.1</v>
      </c>
      <c r="N26">
        <v>7</v>
      </c>
      <c r="O26" t="s">
        <v>25</v>
      </c>
      <c r="P26" t="s">
        <v>34</v>
      </c>
      <c r="R26">
        <v>43900</v>
      </c>
    </row>
    <row r="27" spans="1:18" ht="15" customHeight="1" x14ac:dyDescent="0.3">
      <c r="A27" t="s">
        <v>119</v>
      </c>
      <c r="B27" t="s">
        <v>28</v>
      </c>
      <c r="C27">
        <v>2</v>
      </c>
      <c r="D27" t="s">
        <v>120</v>
      </c>
      <c r="E27" t="s">
        <v>118</v>
      </c>
      <c r="F27" t="s">
        <v>22</v>
      </c>
      <c r="G27" t="s">
        <v>121</v>
      </c>
      <c r="H27" t="s">
        <v>40</v>
      </c>
      <c r="I27">
        <v>11</v>
      </c>
      <c r="J27">
        <v>12999</v>
      </c>
      <c r="K27">
        <v>142989</v>
      </c>
      <c r="L27">
        <v>20</v>
      </c>
      <c r="M27">
        <v>114391.2</v>
      </c>
      <c r="N27">
        <v>9</v>
      </c>
      <c r="O27" t="s">
        <v>25</v>
      </c>
      <c r="P27" t="s">
        <v>122</v>
      </c>
      <c r="R27">
        <v>104200</v>
      </c>
    </row>
    <row r="28" spans="1:18" ht="15" customHeight="1" x14ac:dyDescent="0.3">
      <c r="A28" t="s">
        <v>123</v>
      </c>
      <c r="B28" t="s">
        <v>36</v>
      </c>
      <c r="C28">
        <v>3</v>
      </c>
      <c r="D28" t="s">
        <v>124</v>
      </c>
      <c r="E28" t="s">
        <v>21</v>
      </c>
      <c r="F28" t="s">
        <v>44</v>
      </c>
      <c r="G28" t="s">
        <v>125</v>
      </c>
      <c r="H28" t="s">
        <v>40</v>
      </c>
      <c r="I28">
        <v>3</v>
      </c>
      <c r="J28">
        <v>24999</v>
      </c>
      <c r="K28">
        <v>74997</v>
      </c>
      <c r="L28">
        <v>10</v>
      </c>
      <c r="M28">
        <v>67497.3</v>
      </c>
      <c r="N28">
        <v>8</v>
      </c>
      <c r="O28" t="s">
        <v>25</v>
      </c>
      <c r="P28" t="s">
        <v>60</v>
      </c>
      <c r="R28">
        <v>57600</v>
      </c>
    </row>
    <row r="29" spans="1:18" ht="15" customHeight="1" x14ac:dyDescent="0.3">
      <c r="A29" t="s">
        <v>126</v>
      </c>
      <c r="B29" t="s">
        <v>42</v>
      </c>
      <c r="C29">
        <v>4</v>
      </c>
      <c r="D29" t="s">
        <v>127</v>
      </c>
      <c r="E29" t="s">
        <v>118</v>
      </c>
      <c r="F29" t="s">
        <v>51</v>
      </c>
      <c r="G29" t="s">
        <v>115</v>
      </c>
      <c r="H29" t="s">
        <v>33</v>
      </c>
      <c r="I29">
        <v>4</v>
      </c>
      <c r="J29">
        <v>7999</v>
      </c>
      <c r="K29">
        <v>31996</v>
      </c>
      <c r="L29">
        <v>10</v>
      </c>
      <c r="M29">
        <v>28796.400000000001</v>
      </c>
      <c r="N29">
        <v>3</v>
      </c>
      <c r="O29" t="s">
        <v>46</v>
      </c>
      <c r="P29" t="s">
        <v>60</v>
      </c>
      <c r="R29">
        <v>32100</v>
      </c>
    </row>
    <row r="30" spans="1:18" ht="15" customHeight="1" x14ac:dyDescent="0.3">
      <c r="A30" t="s">
        <v>128</v>
      </c>
      <c r="B30" t="s">
        <v>48</v>
      </c>
      <c r="C30">
        <v>5</v>
      </c>
      <c r="D30" t="s">
        <v>129</v>
      </c>
      <c r="E30" t="s">
        <v>65</v>
      </c>
      <c r="F30" t="s">
        <v>44</v>
      </c>
      <c r="G30" t="s">
        <v>125</v>
      </c>
      <c r="H30" t="s">
        <v>33</v>
      </c>
      <c r="I30">
        <v>12</v>
      </c>
      <c r="J30">
        <v>1499</v>
      </c>
      <c r="K30">
        <v>17988</v>
      </c>
      <c r="L30">
        <v>20</v>
      </c>
      <c r="M30">
        <v>14390.4</v>
      </c>
      <c r="N30">
        <v>9</v>
      </c>
      <c r="O30" t="s">
        <v>25</v>
      </c>
      <c r="P30" t="s">
        <v>34</v>
      </c>
      <c r="R30">
        <v>13500</v>
      </c>
    </row>
    <row r="31" spans="1:18" ht="15" customHeight="1" x14ac:dyDescent="0.3">
      <c r="A31" t="s">
        <v>130</v>
      </c>
      <c r="B31" t="s">
        <v>55</v>
      </c>
      <c r="C31">
        <v>6</v>
      </c>
      <c r="D31" t="s">
        <v>131</v>
      </c>
      <c r="E31" t="s">
        <v>21</v>
      </c>
      <c r="F31" t="s">
        <v>22</v>
      </c>
      <c r="G31" t="s">
        <v>39</v>
      </c>
      <c r="H31" t="s">
        <v>24</v>
      </c>
      <c r="I31">
        <v>15</v>
      </c>
      <c r="J31">
        <v>499</v>
      </c>
      <c r="K31">
        <v>7485</v>
      </c>
      <c r="L31">
        <v>20</v>
      </c>
      <c r="M31">
        <v>5988</v>
      </c>
      <c r="N31">
        <v>3</v>
      </c>
      <c r="O31" t="s">
        <v>25</v>
      </c>
      <c r="P31" t="s">
        <v>34</v>
      </c>
      <c r="R31">
        <v>5500</v>
      </c>
    </row>
    <row r="32" spans="1:18" ht="15" customHeight="1" x14ac:dyDescent="0.3">
      <c r="A32" t="s">
        <v>132</v>
      </c>
      <c r="B32" t="s">
        <v>63</v>
      </c>
      <c r="C32">
        <v>7</v>
      </c>
      <c r="D32" t="s">
        <v>133</v>
      </c>
      <c r="E32" t="s">
        <v>65</v>
      </c>
      <c r="F32" t="s">
        <v>31</v>
      </c>
      <c r="G32" t="s">
        <v>134</v>
      </c>
      <c r="H32" t="s">
        <v>40</v>
      </c>
      <c r="I32">
        <v>15</v>
      </c>
      <c r="J32">
        <v>299</v>
      </c>
      <c r="K32">
        <v>4485</v>
      </c>
      <c r="L32">
        <v>0</v>
      </c>
      <c r="M32">
        <v>4485</v>
      </c>
      <c r="N32">
        <v>7</v>
      </c>
      <c r="O32" t="s">
        <v>88</v>
      </c>
      <c r="P32" t="s">
        <v>60</v>
      </c>
      <c r="R32">
        <v>3800</v>
      </c>
    </row>
    <row r="33" spans="1:18" ht="15" customHeight="1" x14ac:dyDescent="0.3">
      <c r="A33" t="s">
        <v>135</v>
      </c>
      <c r="B33" t="s">
        <v>67</v>
      </c>
      <c r="C33">
        <v>8</v>
      </c>
      <c r="D33" t="s">
        <v>136</v>
      </c>
      <c r="E33" t="s">
        <v>94</v>
      </c>
      <c r="F33" t="s">
        <v>31</v>
      </c>
      <c r="G33" t="s">
        <v>134</v>
      </c>
      <c r="H33" t="s">
        <v>33</v>
      </c>
      <c r="I33">
        <v>8</v>
      </c>
      <c r="J33">
        <v>7999</v>
      </c>
      <c r="K33">
        <v>63992</v>
      </c>
      <c r="L33">
        <v>15</v>
      </c>
      <c r="M33">
        <v>54393.2</v>
      </c>
      <c r="N33">
        <v>9</v>
      </c>
      <c r="O33" t="s">
        <v>25</v>
      </c>
      <c r="P33" t="s">
        <v>60</v>
      </c>
      <c r="R33">
        <v>61700</v>
      </c>
    </row>
    <row r="34" spans="1:18" ht="15" customHeight="1" x14ac:dyDescent="0.3">
      <c r="A34" t="s">
        <v>137</v>
      </c>
      <c r="B34" t="s">
        <v>70</v>
      </c>
      <c r="C34">
        <v>9</v>
      </c>
      <c r="D34" t="s">
        <v>138</v>
      </c>
      <c r="E34" t="s">
        <v>30</v>
      </c>
      <c r="F34" t="s">
        <v>31</v>
      </c>
      <c r="G34" t="s">
        <v>77</v>
      </c>
      <c r="H34" t="s">
        <v>40</v>
      </c>
      <c r="I34">
        <v>10</v>
      </c>
      <c r="J34">
        <v>7999</v>
      </c>
      <c r="K34">
        <v>79990</v>
      </c>
      <c r="L34">
        <v>5</v>
      </c>
      <c r="M34">
        <v>75990.5</v>
      </c>
      <c r="N34">
        <v>7</v>
      </c>
      <c r="O34" t="s">
        <v>25</v>
      </c>
      <c r="P34" t="s">
        <v>122</v>
      </c>
      <c r="R34">
        <v>72900</v>
      </c>
    </row>
    <row r="35" spans="1:18" ht="15" customHeight="1" x14ac:dyDescent="0.3">
      <c r="A35" t="s">
        <v>139</v>
      </c>
      <c r="B35" t="s">
        <v>75</v>
      </c>
      <c r="C35">
        <v>10</v>
      </c>
      <c r="D35" t="s">
        <v>140</v>
      </c>
      <c r="E35" t="s">
        <v>50</v>
      </c>
      <c r="F35" t="s">
        <v>22</v>
      </c>
      <c r="G35" t="s">
        <v>91</v>
      </c>
      <c r="H35" t="s">
        <v>33</v>
      </c>
      <c r="I35">
        <v>4</v>
      </c>
      <c r="J35">
        <v>24999</v>
      </c>
      <c r="K35">
        <v>99996</v>
      </c>
      <c r="L35">
        <v>0</v>
      </c>
      <c r="M35">
        <v>99996</v>
      </c>
      <c r="N35">
        <v>6</v>
      </c>
      <c r="O35" t="s">
        <v>59</v>
      </c>
      <c r="P35" t="s">
        <v>26</v>
      </c>
      <c r="Q35" t="s">
        <v>61</v>
      </c>
      <c r="R35">
        <v>107500</v>
      </c>
    </row>
    <row r="36" spans="1:18" ht="15" customHeight="1" x14ac:dyDescent="0.3">
      <c r="A36" t="s">
        <v>141</v>
      </c>
      <c r="B36" t="s">
        <v>79</v>
      </c>
      <c r="C36">
        <v>11</v>
      </c>
      <c r="D36" t="s">
        <v>142</v>
      </c>
      <c r="E36" t="s">
        <v>38</v>
      </c>
      <c r="F36" t="s">
        <v>31</v>
      </c>
      <c r="G36" t="s">
        <v>32</v>
      </c>
      <c r="H36" t="s">
        <v>24</v>
      </c>
      <c r="I36">
        <v>3</v>
      </c>
      <c r="J36">
        <v>1999</v>
      </c>
      <c r="K36">
        <v>5997</v>
      </c>
      <c r="L36">
        <v>15</v>
      </c>
      <c r="M36">
        <v>5097.45</v>
      </c>
      <c r="N36">
        <v>4</v>
      </c>
      <c r="O36" t="s">
        <v>25</v>
      </c>
      <c r="P36" t="s">
        <v>60</v>
      </c>
      <c r="R36">
        <v>4900</v>
      </c>
    </row>
    <row r="37" spans="1:18" ht="15" customHeight="1" x14ac:dyDescent="0.3">
      <c r="A37" t="s">
        <v>143</v>
      </c>
      <c r="B37" t="s">
        <v>83</v>
      </c>
      <c r="C37">
        <v>12</v>
      </c>
      <c r="D37" t="s">
        <v>144</v>
      </c>
      <c r="E37" t="s">
        <v>50</v>
      </c>
      <c r="F37" t="s">
        <v>72</v>
      </c>
      <c r="G37" t="s">
        <v>73</v>
      </c>
      <c r="H37" t="s">
        <v>40</v>
      </c>
      <c r="I37">
        <v>6</v>
      </c>
      <c r="J37">
        <v>1499</v>
      </c>
      <c r="K37">
        <v>8994</v>
      </c>
      <c r="L37">
        <v>5</v>
      </c>
      <c r="M37">
        <v>8544.2999999999993</v>
      </c>
      <c r="N37">
        <v>4</v>
      </c>
      <c r="O37" t="s">
        <v>25</v>
      </c>
      <c r="P37" t="s">
        <v>53</v>
      </c>
      <c r="R37">
        <v>8300</v>
      </c>
    </row>
    <row r="38" spans="1:18" ht="15" customHeight="1" x14ac:dyDescent="0.3">
      <c r="A38" t="s">
        <v>145</v>
      </c>
      <c r="B38" t="s">
        <v>19</v>
      </c>
      <c r="C38">
        <v>1</v>
      </c>
      <c r="D38" t="s">
        <v>146</v>
      </c>
      <c r="E38" t="s">
        <v>57</v>
      </c>
      <c r="F38" t="s">
        <v>22</v>
      </c>
      <c r="G38" t="s">
        <v>91</v>
      </c>
      <c r="H38" t="s">
        <v>33</v>
      </c>
      <c r="I38">
        <v>9</v>
      </c>
      <c r="J38">
        <v>2999</v>
      </c>
      <c r="K38">
        <v>26991</v>
      </c>
      <c r="L38">
        <v>20</v>
      </c>
      <c r="M38">
        <v>21592.799999999999</v>
      </c>
      <c r="N38">
        <v>6</v>
      </c>
      <c r="O38" t="s">
        <v>46</v>
      </c>
      <c r="P38" t="s">
        <v>60</v>
      </c>
      <c r="R38">
        <v>24000</v>
      </c>
    </row>
    <row r="39" spans="1:18" ht="15" customHeight="1" x14ac:dyDescent="0.3">
      <c r="A39" t="s">
        <v>147</v>
      </c>
      <c r="B39" t="s">
        <v>28</v>
      </c>
      <c r="C39">
        <v>2</v>
      </c>
      <c r="D39" t="s">
        <v>148</v>
      </c>
      <c r="E39" t="s">
        <v>21</v>
      </c>
      <c r="F39" t="s">
        <v>31</v>
      </c>
      <c r="G39" t="s">
        <v>77</v>
      </c>
      <c r="H39" t="s">
        <v>24</v>
      </c>
      <c r="I39">
        <v>2</v>
      </c>
      <c r="J39">
        <v>12999</v>
      </c>
      <c r="K39">
        <v>25998</v>
      </c>
      <c r="L39">
        <v>15</v>
      </c>
      <c r="M39">
        <v>22098.3</v>
      </c>
      <c r="N39">
        <v>6</v>
      </c>
      <c r="O39" t="s">
        <v>59</v>
      </c>
      <c r="P39" t="s">
        <v>122</v>
      </c>
      <c r="Q39" t="s">
        <v>149</v>
      </c>
      <c r="R39">
        <v>22800</v>
      </c>
    </row>
    <row r="40" spans="1:18" ht="15" customHeight="1" x14ac:dyDescent="0.3">
      <c r="A40" t="s">
        <v>150</v>
      </c>
      <c r="B40" t="s">
        <v>36</v>
      </c>
      <c r="C40">
        <v>3</v>
      </c>
      <c r="D40" t="s">
        <v>151</v>
      </c>
      <c r="E40" t="s">
        <v>50</v>
      </c>
      <c r="F40" t="s">
        <v>22</v>
      </c>
      <c r="G40" t="s">
        <v>152</v>
      </c>
      <c r="H40" t="s">
        <v>40</v>
      </c>
      <c r="I40">
        <v>1</v>
      </c>
      <c r="J40">
        <v>2999</v>
      </c>
      <c r="K40">
        <v>2999</v>
      </c>
      <c r="L40">
        <v>0</v>
      </c>
      <c r="M40">
        <v>2999</v>
      </c>
      <c r="N40">
        <v>9</v>
      </c>
      <c r="O40" t="s">
        <v>46</v>
      </c>
      <c r="P40" t="s">
        <v>34</v>
      </c>
      <c r="R40">
        <v>3200</v>
      </c>
    </row>
    <row r="41" spans="1:18" ht="15" customHeight="1" x14ac:dyDescent="0.3">
      <c r="A41" t="s">
        <v>153</v>
      </c>
      <c r="B41" t="s">
        <v>42</v>
      </c>
      <c r="C41">
        <v>4</v>
      </c>
      <c r="D41" t="s">
        <v>43</v>
      </c>
      <c r="E41" t="s">
        <v>38</v>
      </c>
      <c r="F41" t="s">
        <v>31</v>
      </c>
      <c r="G41" t="s">
        <v>134</v>
      </c>
      <c r="H41" t="s">
        <v>24</v>
      </c>
      <c r="I41">
        <v>11</v>
      </c>
      <c r="J41">
        <v>1999</v>
      </c>
      <c r="K41">
        <v>21989</v>
      </c>
      <c r="L41">
        <v>20</v>
      </c>
      <c r="M41">
        <v>17591.2</v>
      </c>
      <c r="N41">
        <v>6</v>
      </c>
      <c r="O41" t="s">
        <v>25</v>
      </c>
      <c r="P41" t="s">
        <v>60</v>
      </c>
      <c r="R41">
        <v>18800</v>
      </c>
    </row>
    <row r="42" spans="1:18" ht="15" customHeight="1" x14ac:dyDescent="0.3">
      <c r="A42" t="s">
        <v>154</v>
      </c>
      <c r="B42" t="s">
        <v>48</v>
      </c>
      <c r="C42">
        <v>5</v>
      </c>
      <c r="D42" t="s">
        <v>155</v>
      </c>
      <c r="E42" t="s">
        <v>38</v>
      </c>
      <c r="F42" t="s">
        <v>51</v>
      </c>
      <c r="G42" t="s">
        <v>52</v>
      </c>
      <c r="H42" t="s">
        <v>40</v>
      </c>
      <c r="I42">
        <v>7</v>
      </c>
      <c r="J42">
        <v>1499</v>
      </c>
      <c r="K42">
        <v>10493</v>
      </c>
      <c r="L42">
        <v>20</v>
      </c>
      <c r="M42">
        <v>8394.4</v>
      </c>
      <c r="N42">
        <v>3</v>
      </c>
      <c r="O42" t="s">
        <v>25</v>
      </c>
      <c r="P42" t="s">
        <v>26</v>
      </c>
      <c r="R42">
        <v>8800</v>
      </c>
    </row>
    <row r="43" spans="1:18" ht="15" customHeight="1" x14ac:dyDescent="0.3">
      <c r="A43" t="s">
        <v>156</v>
      </c>
      <c r="B43" t="s">
        <v>55</v>
      </c>
      <c r="C43">
        <v>6</v>
      </c>
      <c r="D43" t="s">
        <v>131</v>
      </c>
      <c r="E43" t="s">
        <v>21</v>
      </c>
      <c r="F43" t="s">
        <v>51</v>
      </c>
      <c r="G43" t="s">
        <v>157</v>
      </c>
      <c r="H43" t="s">
        <v>40</v>
      </c>
      <c r="I43">
        <v>9</v>
      </c>
      <c r="J43">
        <v>299</v>
      </c>
      <c r="K43">
        <v>2691</v>
      </c>
      <c r="L43">
        <v>10</v>
      </c>
      <c r="M43">
        <v>2421.9</v>
      </c>
      <c r="N43">
        <v>5</v>
      </c>
      <c r="O43" t="s">
        <v>25</v>
      </c>
      <c r="P43" t="s">
        <v>34</v>
      </c>
      <c r="R43">
        <v>2500</v>
      </c>
    </row>
    <row r="44" spans="1:18" ht="15" customHeight="1" x14ac:dyDescent="0.3">
      <c r="A44" t="s">
        <v>158</v>
      </c>
      <c r="B44" t="s">
        <v>63</v>
      </c>
      <c r="C44">
        <v>7</v>
      </c>
      <c r="D44" t="s">
        <v>159</v>
      </c>
      <c r="E44" t="s">
        <v>65</v>
      </c>
      <c r="F44" t="s">
        <v>72</v>
      </c>
      <c r="G44" t="s">
        <v>103</v>
      </c>
      <c r="H44" t="s">
        <v>33</v>
      </c>
      <c r="I44">
        <v>4</v>
      </c>
      <c r="J44">
        <v>7999</v>
      </c>
      <c r="K44">
        <v>31996</v>
      </c>
      <c r="L44">
        <v>15</v>
      </c>
      <c r="M44">
        <v>27196.6</v>
      </c>
      <c r="N44">
        <v>3</v>
      </c>
      <c r="O44" t="s">
        <v>25</v>
      </c>
      <c r="P44" t="s">
        <v>122</v>
      </c>
      <c r="R44">
        <v>27300</v>
      </c>
    </row>
    <row r="45" spans="1:18" ht="15" customHeight="1" x14ac:dyDescent="0.3">
      <c r="A45" t="s">
        <v>160</v>
      </c>
      <c r="B45" t="s">
        <v>67</v>
      </c>
      <c r="C45">
        <v>8</v>
      </c>
      <c r="D45" t="s">
        <v>161</v>
      </c>
      <c r="E45" t="s">
        <v>118</v>
      </c>
      <c r="F45" t="s">
        <v>51</v>
      </c>
      <c r="G45" t="s">
        <v>52</v>
      </c>
      <c r="H45" t="s">
        <v>24</v>
      </c>
      <c r="I45">
        <v>11</v>
      </c>
      <c r="J45">
        <v>1499</v>
      </c>
      <c r="K45">
        <v>16489</v>
      </c>
      <c r="L45">
        <v>5</v>
      </c>
      <c r="M45">
        <v>15664.55</v>
      </c>
      <c r="N45">
        <v>4</v>
      </c>
      <c r="O45" t="s">
        <v>25</v>
      </c>
      <c r="P45" t="s">
        <v>60</v>
      </c>
      <c r="R45">
        <v>14500</v>
      </c>
    </row>
    <row r="46" spans="1:18" ht="15" customHeight="1" x14ac:dyDescent="0.3">
      <c r="A46" t="s">
        <v>162</v>
      </c>
      <c r="B46" t="s">
        <v>70</v>
      </c>
      <c r="C46">
        <v>9</v>
      </c>
      <c r="D46" t="s">
        <v>163</v>
      </c>
      <c r="E46" t="s">
        <v>65</v>
      </c>
      <c r="F46" t="s">
        <v>51</v>
      </c>
      <c r="G46" t="s">
        <v>115</v>
      </c>
      <c r="H46" t="s">
        <v>40</v>
      </c>
      <c r="I46">
        <v>15</v>
      </c>
      <c r="J46">
        <v>24999</v>
      </c>
      <c r="K46">
        <v>374985</v>
      </c>
      <c r="L46">
        <v>20</v>
      </c>
      <c r="M46">
        <v>299988</v>
      </c>
      <c r="N46">
        <v>4</v>
      </c>
      <c r="O46" t="s">
        <v>59</v>
      </c>
      <c r="P46" t="s">
        <v>26</v>
      </c>
      <c r="Q46" t="s">
        <v>149</v>
      </c>
      <c r="R46">
        <v>291000</v>
      </c>
    </row>
    <row r="47" spans="1:18" ht="15" customHeight="1" x14ac:dyDescent="0.3">
      <c r="A47" t="s">
        <v>164</v>
      </c>
      <c r="B47" t="s">
        <v>75</v>
      </c>
      <c r="C47">
        <v>10</v>
      </c>
      <c r="D47" t="s">
        <v>165</v>
      </c>
      <c r="E47" t="s">
        <v>38</v>
      </c>
      <c r="F47" t="s">
        <v>22</v>
      </c>
      <c r="G47" t="s">
        <v>23</v>
      </c>
      <c r="H47" t="s">
        <v>24</v>
      </c>
      <c r="I47">
        <v>3</v>
      </c>
      <c r="J47">
        <v>7999</v>
      </c>
      <c r="K47">
        <v>23997</v>
      </c>
      <c r="L47">
        <v>15</v>
      </c>
      <c r="M47">
        <v>20397.45</v>
      </c>
      <c r="N47">
        <v>1</v>
      </c>
      <c r="O47" t="s">
        <v>25</v>
      </c>
      <c r="P47" t="s">
        <v>60</v>
      </c>
      <c r="R47">
        <v>20100</v>
      </c>
    </row>
    <row r="48" spans="1:18" ht="15" customHeight="1" x14ac:dyDescent="0.3">
      <c r="A48" t="s">
        <v>166</v>
      </c>
      <c r="B48" t="s">
        <v>79</v>
      </c>
      <c r="C48">
        <v>11</v>
      </c>
      <c r="D48" t="s">
        <v>167</v>
      </c>
      <c r="E48" t="s">
        <v>57</v>
      </c>
      <c r="F48" t="s">
        <v>72</v>
      </c>
      <c r="G48" t="s">
        <v>81</v>
      </c>
      <c r="H48" t="s">
        <v>40</v>
      </c>
      <c r="I48">
        <v>10</v>
      </c>
      <c r="J48">
        <v>7999</v>
      </c>
      <c r="K48">
        <v>79990</v>
      </c>
      <c r="L48">
        <v>15</v>
      </c>
      <c r="M48">
        <v>67991.5</v>
      </c>
      <c r="N48">
        <v>9</v>
      </c>
      <c r="O48" t="s">
        <v>25</v>
      </c>
      <c r="P48" t="s">
        <v>53</v>
      </c>
      <c r="R48">
        <v>73000</v>
      </c>
    </row>
    <row r="49" spans="1:18" ht="15" customHeight="1" x14ac:dyDescent="0.3">
      <c r="A49" t="s">
        <v>168</v>
      </c>
      <c r="B49" t="s">
        <v>83</v>
      </c>
      <c r="C49">
        <v>12</v>
      </c>
      <c r="D49" t="s">
        <v>169</v>
      </c>
      <c r="E49" t="s">
        <v>50</v>
      </c>
      <c r="F49" t="s">
        <v>72</v>
      </c>
      <c r="G49" t="s">
        <v>112</v>
      </c>
      <c r="H49" t="s">
        <v>33</v>
      </c>
      <c r="I49">
        <v>5</v>
      </c>
      <c r="J49">
        <v>7999</v>
      </c>
      <c r="K49">
        <v>39995</v>
      </c>
      <c r="L49">
        <v>15</v>
      </c>
      <c r="M49">
        <v>33995.75</v>
      </c>
      <c r="N49">
        <v>4</v>
      </c>
      <c r="O49" t="s">
        <v>25</v>
      </c>
      <c r="P49" t="s">
        <v>60</v>
      </c>
      <c r="R49">
        <v>36200</v>
      </c>
    </row>
    <row r="50" spans="1:18" ht="15" customHeight="1" x14ac:dyDescent="0.3">
      <c r="A50" t="s">
        <v>170</v>
      </c>
      <c r="B50" t="s">
        <v>19</v>
      </c>
      <c r="C50">
        <v>1</v>
      </c>
      <c r="D50" t="s">
        <v>20</v>
      </c>
      <c r="E50" t="s">
        <v>57</v>
      </c>
      <c r="F50" t="s">
        <v>44</v>
      </c>
      <c r="G50" t="s">
        <v>171</v>
      </c>
      <c r="H50" t="s">
        <v>33</v>
      </c>
      <c r="I50">
        <v>2</v>
      </c>
      <c r="J50">
        <v>799</v>
      </c>
      <c r="K50">
        <v>1598</v>
      </c>
      <c r="L50">
        <v>5</v>
      </c>
      <c r="M50">
        <v>1518.1</v>
      </c>
      <c r="N50">
        <v>4</v>
      </c>
      <c r="O50" t="s">
        <v>25</v>
      </c>
      <c r="P50" t="s">
        <v>53</v>
      </c>
      <c r="R50">
        <v>1600</v>
      </c>
    </row>
    <row r="51" spans="1:18" ht="15" customHeight="1" x14ac:dyDescent="0.3">
      <c r="A51" t="s">
        <v>172</v>
      </c>
      <c r="B51" t="s">
        <v>28</v>
      </c>
      <c r="C51">
        <v>2</v>
      </c>
      <c r="D51" t="s">
        <v>173</v>
      </c>
      <c r="E51" t="s">
        <v>57</v>
      </c>
      <c r="F51" t="s">
        <v>72</v>
      </c>
      <c r="G51" t="s">
        <v>103</v>
      </c>
      <c r="H51" t="s">
        <v>33</v>
      </c>
      <c r="I51">
        <v>8</v>
      </c>
      <c r="J51">
        <v>2999</v>
      </c>
      <c r="K51">
        <v>23992</v>
      </c>
      <c r="L51">
        <v>0</v>
      </c>
      <c r="M51">
        <v>23992</v>
      </c>
      <c r="N51">
        <v>4</v>
      </c>
      <c r="O51" t="s">
        <v>88</v>
      </c>
      <c r="P51" t="s">
        <v>26</v>
      </c>
      <c r="R51">
        <v>26900</v>
      </c>
    </row>
    <row r="52" spans="1:18" ht="15" customHeight="1" x14ac:dyDescent="0.3">
      <c r="A52" t="s">
        <v>174</v>
      </c>
      <c r="B52" t="s">
        <v>36</v>
      </c>
      <c r="C52">
        <v>3</v>
      </c>
      <c r="D52" t="s">
        <v>151</v>
      </c>
      <c r="E52" t="s">
        <v>38</v>
      </c>
      <c r="F52" t="s">
        <v>22</v>
      </c>
      <c r="G52" t="s">
        <v>121</v>
      </c>
      <c r="H52" t="s">
        <v>40</v>
      </c>
      <c r="I52">
        <v>1</v>
      </c>
      <c r="J52">
        <v>1999</v>
      </c>
      <c r="K52">
        <v>1999</v>
      </c>
      <c r="L52">
        <v>10</v>
      </c>
      <c r="M52">
        <v>1799.1</v>
      </c>
      <c r="N52">
        <v>7</v>
      </c>
      <c r="O52" t="s">
        <v>88</v>
      </c>
      <c r="P52" t="s">
        <v>26</v>
      </c>
      <c r="R52">
        <v>1800</v>
      </c>
    </row>
    <row r="53" spans="1:18" ht="15" customHeight="1" x14ac:dyDescent="0.3">
      <c r="A53" t="s">
        <v>175</v>
      </c>
      <c r="B53" t="s">
        <v>42</v>
      </c>
      <c r="C53">
        <v>4</v>
      </c>
      <c r="D53" t="s">
        <v>176</v>
      </c>
      <c r="E53" t="s">
        <v>50</v>
      </c>
      <c r="F53" t="s">
        <v>51</v>
      </c>
      <c r="G53" t="s">
        <v>157</v>
      </c>
      <c r="H53" t="s">
        <v>40</v>
      </c>
      <c r="I53">
        <v>4</v>
      </c>
      <c r="J53">
        <v>1499</v>
      </c>
      <c r="K53">
        <v>5996</v>
      </c>
      <c r="L53">
        <v>15</v>
      </c>
      <c r="M53">
        <v>5096.6000000000004</v>
      </c>
      <c r="N53">
        <v>8</v>
      </c>
      <c r="O53" t="s">
        <v>25</v>
      </c>
      <c r="P53" t="s">
        <v>122</v>
      </c>
      <c r="R53">
        <v>5400</v>
      </c>
    </row>
    <row r="54" spans="1:18" ht="15" customHeight="1" x14ac:dyDescent="0.3">
      <c r="A54" t="s">
        <v>177</v>
      </c>
      <c r="B54" t="s">
        <v>48</v>
      </c>
      <c r="C54">
        <v>5</v>
      </c>
      <c r="D54" t="s">
        <v>178</v>
      </c>
      <c r="E54" t="s">
        <v>65</v>
      </c>
      <c r="F54" t="s">
        <v>72</v>
      </c>
      <c r="G54" t="s">
        <v>73</v>
      </c>
      <c r="H54" t="s">
        <v>24</v>
      </c>
      <c r="I54">
        <v>10</v>
      </c>
      <c r="J54">
        <v>7999</v>
      </c>
      <c r="K54">
        <v>79990</v>
      </c>
      <c r="L54">
        <v>0</v>
      </c>
      <c r="M54">
        <v>79990</v>
      </c>
      <c r="N54">
        <v>7</v>
      </c>
      <c r="O54" t="s">
        <v>25</v>
      </c>
      <c r="P54" t="s">
        <v>60</v>
      </c>
      <c r="R54">
        <v>70000</v>
      </c>
    </row>
    <row r="55" spans="1:18" ht="15" customHeight="1" x14ac:dyDescent="0.3">
      <c r="A55" t="s">
        <v>179</v>
      </c>
      <c r="B55" t="s">
        <v>55</v>
      </c>
      <c r="C55">
        <v>6</v>
      </c>
      <c r="D55" t="s">
        <v>180</v>
      </c>
      <c r="E55" t="s">
        <v>94</v>
      </c>
      <c r="F55" t="s">
        <v>31</v>
      </c>
      <c r="G55" t="s">
        <v>181</v>
      </c>
      <c r="H55" t="s">
        <v>24</v>
      </c>
      <c r="I55">
        <v>5</v>
      </c>
      <c r="J55">
        <v>2999</v>
      </c>
      <c r="K55">
        <v>14995</v>
      </c>
      <c r="L55">
        <v>10</v>
      </c>
      <c r="M55">
        <v>13495.5</v>
      </c>
      <c r="N55">
        <v>4</v>
      </c>
      <c r="O55" t="s">
        <v>25</v>
      </c>
      <c r="P55" t="s">
        <v>122</v>
      </c>
      <c r="R55">
        <v>14600</v>
      </c>
    </row>
    <row r="56" spans="1:18" ht="15" customHeight="1" x14ac:dyDescent="0.3">
      <c r="A56" t="s">
        <v>182</v>
      </c>
      <c r="B56" t="s">
        <v>63</v>
      </c>
      <c r="C56">
        <v>7</v>
      </c>
      <c r="D56" t="s">
        <v>183</v>
      </c>
      <c r="E56" t="s">
        <v>21</v>
      </c>
      <c r="F56" t="s">
        <v>44</v>
      </c>
      <c r="G56" t="s">
        <v>58</v>
      </c>
      <c r="H56" t="s">
        <v>24</v>
      </c>
      <c r="I56">
        <v>8</v>
      </c>
      <c r="J56">
        <v>299</v>
      </c>
      <c r="K56">
        <v>2392</v>
      </c>
      <c r="L56">
        <v>20</v>
      </c>
      <c r="M56">
        <v>1913.6</v>
      </c>
      <c r="N56">
        <v>1</v>
      </c>
      <c r="O56" t="s">
        <v>46</v>
      </c>
      <c r="P56" t="s">
        <v>122</v>
      </c>
      <c r="R56">
        <v>1800</v>
      </c>
    </row>
    <row r="57" spans="1:18" ht="15" customHeight="1" x14ac:dyDescent="0.3">
      <c r="A57" t="s">
        <v>184</v>
      </c>
      <c r="B57" t="s">
        <v>67</v>
      </c>
      <c r="C57">
        <v>8</v>
      </c>
      <c r="D57" t="s">
        <v>185</v>
      </c>
      <c r="E57" t="s">
        <v>50</v>
      </c>
      <c r="F57" t="s">
        <v>22</v>
      </c>
      <c r="G57" t="s">
        <v>23</v>
      </c>
      <c r="H57" t="s">
        <v>24</v>
      </c>
      <c r="I57">
        <v>14</v>
      </c>
      <c r="J57">
        <v>299</v>
      </c>
      <c r="K57">
        <v>4186</v>
      </c>
      <c r="L57">
        <v>20</v>
      </c>
      <c r="M57">
        <v>3348.8</v>
      </c>
      <c r="N57">
        <v>3</v>
      </c>
      <c r="O57" t="s">
        <v>25</v>
      </c>
      <c r="P57" t="s">
        <v>26</v>
      </c>
      <c r="R57">
        <v>3500</v>
      </c>
    </row>
    <row r="58" spans="1:18" ht="15" customHeight="1" x14ac:dyDescent="0.3">
      <c r="A58" t="s">
        <v>186</v>
      </c>
      <c r="B58" t="s">
        <v>70</v>
      </c>
      <c r="C58">
        <v>9</v>
      </c>
      <c r="D58" t="s">
        <v>187</v>
      </c>
      <c r="E58" t="s">
        <v>21</v>
      </c>
      <c r="F58" t="s">
        <v>31</v>
      </c>
      <c r="G58" t="s">
        <v>181</v>
      </c>
      <c r="H58" t="s">
        <v>40</v>
      </c>
      <c r="I58">
        <v>3</v>
      </c>
      <c r="J58">
        <v>12999</v>
      </c>
      <c r="K58">
        <v>38997</v>
      </c>
      <c r="L58">
        <v>20</v>
      </c>
      <c r="M58">
        <v>31197.599999999999</v>
      </c>
      <c r="N58">
        <v>2</v>
      </c>
      <c r="O58" t="s">
        <v>59</v>
      </c>
      <c r="P58" t="s">
        <v>53</v>
      </c>
      <c r="Q58" t="s">
        <v>188</v>
      </c>
      <c r="R58">
        <v>27500</v>
      </c>
    </row>
    <row r="59" spans="1:18" ht="15" customHeight="1" x14ac:dyDescent="0.3">
      <c r="A59" t="s">
        <v>189</v>
      </c>
      <c r="B59" t="s">
        <v>75</v>
      </c>
      <c r="C59">
        <v>10</v>
      </c>
      <c r="D59" t="s">
        <v>190</v>
      </c>
      <c r="E59" t="s">
        <v>38</v>
      </c>
      <c r="F59" t="s">
        <v>44</v>
      </c>
      <c r="G59" t="s">
        <v>45</v>
      </c>
      <c r="H59" t="s">
        <v>40</v>
      </c>
      <c r="I59">
        <v>12</v>
      </c>
      <c r="J59">
        <v>999</v>
      </c>
      <c r="K59">
        <v>11988</v>
      </c>
      <c r="L59">
        <v>0</v>
      </c>
      <c r="M59">
        <v>11988</v>
      </c>
      <c r="N59">
        <v>10</v>
      </c>
      <c r="O59" t="s">
        <v>25</v>
      </c>
      <c r="P59" t="s">
        <v>53</v>
      </c>
      <c r="R59">
        <v>10600</v>
      </c>
    </row>
    <row r="60" spans="1:18" ht="15" customHeight="1" x14ac:dyDescent="0.3">
      <c r="A60" t="s">
        <v>191</v>
      </c>
      <c r="B60" t="s">
        <v>79</v>
      </c>
      <c r="C60">
        <v>11</v>
      </c>
      <c r="D60" t="s">
        <v>192</v>
      </c>
      <c r="E60" t="s">
        <v>118</v>
      </c>
      <c r="F60" t="s">
        <v>44</v>
      </c>
      <c r="G60" t="s">
        <v>45</v>
      </c>
      <c r="H60" t="s">
        <v>33</v>
      </c>
      <c r="I60">
        <v>13</v>
      </c>
      <c r="J60">
        <v>299</v>
      </c>
      <c r="K60">
        <v>3887</v>
      </c>
      <c r="L60">
        <v>10</v>
      </c>
      <c r="M60">
        <v>3498.3</v>
      </c>
      <c r="N60">
        <v>9</v>
      </c>
      <c r="O60" t="s">
        <v>25</v>
      </c>
      <c r="P60" t="s">
        <v>122</v>
      </c>
      <c r="R60">
        <v>3000</v>
      </c>
    </row>
    <row r="61" spans="1:18" ht="15" customHeight="1" x14ac:dyDescent="0.3">
      <c r="A61" t="s">
        <v>193</v>
      </c>
      <c r="B61" t="s">
        <v>83</v>
      </c>
      <c r="C61">
        <v>12</v>
      </c>
      <c r="D61" t="s">
        <v>194</v>
      </c>
      <c r="E61" t="s">
        <v>38</v>
      </c>
      <c r="F61" t="s">
        <v>44</v>
      </c>
      <c r="G61" t="s">
        <v>85</v>
      </c>
      <c r="H61" t="s">
        <v>40</v>
      </c>
      <c r="I61">
        <v>2</v>
      </c>
      <c r="J61">
        <v>2999</v>
      </c>
      <c r="K61">
        <v>5998</v>
      </c>
      <c r="L61">
        <v>10</v>
      </c>
      <c r="M61">
        <v>5398.2</v>
      </c>
      <c r="N61">
        <v>8</v>
      </c>
      <c r="O61" t="s">
        <v>59</v>
      </c>
      <c r="P61" t="s">
        <v>26</v>
      </c>
      <c r="Q61" t="s">
        <v>195</v>
      </c>
      <c r="R61">
        <v>5800</v>
      </c>
    </row>
    <row r="62" spans="1:18" ht="15" customHeight="1" x14ac:dyDescent="0.3">
      <c r="A62" t="s">
        <v>196</v>
      </c>
      <c r="B62" t="s">
        <v>19</v>
      </c>
      <c r="C62">
        <v>1</v>
      </c>
      <c r="D62" t="s">
        <v>197</v>
      </c>
      <c r="E62" t="s">
        <v>65</v>
      </c>
      <c r="F62" t="s">
        <v>44</v>
      </c>
      <c r="G62" t="s">
        <v>45</v>
      </c>
      <c r="H62" t="s">
        <v>40</v>
      </c>
      <c r="I62">
        <v>7</v>
      </c>
      <c r="J62">
        <v>12999</v>
      </c>
      <c r="K62">
        <v>90993</v>
      </c>
      <c r="L62">
        <v>10</v>
      </c>
      <c r="M62">
        <v>81893.7</v>
      </c>
      <c r="N62">
        <v>6</v>
      </c>
      <c r="O62" t="s">
        <v>88</v>
      </c>
      <c r="P62" t="s">
        <v>60</v>
      </c>
      <c r="R62">
        <v>76500</v>
      </c>
    </row>
    <row r="63" spans="1:18" ht="15" customHeight="1" x14ac:dyDescent="0.3">
      <c r="A63" t="s">
        <v>198</v>
      </c>
      <c r="B63" t="s">
        <v>28</v>
      </c>
      <c r="C63">
        <v>2</v>
      </c>
      <c r="D63" t="s">
        <v>199</v>
      </c>
      <c r="E63" t="s">
        <v>38</v>
      </c>
      <c r="F63" t="s">
        <v>31</v>
      </c>
      <c r="G63" t="s">
        <v>181</v>
      </c>
      <c r="H63" t="s">
        <v>40</v>
      </c>
      <c r="I63">
        <v>1</v>
      </c>
      <c r="J63">
        <v>4999</v>
      </c>
      <c r="K63">
        <v>4999</v>
      </c>
      <c r="L63">
        <v>10</v>
      </c>
      <c r="M63">
        <v>4499.1000000000004</v>
      </c>
      <c r="N63">
        <v>3</v>
      </c>
      <c r="O63" t="s">
        <v>25</v>
      </c>
      <c r="P63" t="s">
        <v>122</v>
      </c>
      <c r="R63">
        <v>4900</v>
      </c>
    </row>
    <row r="64" spans="1:18" ht="15" customHeight="1" x14ac:dyDescent="0.3">
      <c r="A64" t="s">
        <v>200</v>
      </c>
      <c r="B64" t="s">
        <v>36</v>
      </c>
      <c r="C64">
        <v>3</v>
      </c>
      <c r="D64" t="s">
        <v>201</v>
      </c>
      <c r="E64" t="s">
        <v>21</v>
      </c>
      <c r="F64" t="s">
        <v>44</v>
      </c>
      <c r="G64" t="s">
        <v>45</v>
      </c>
      <c r="H64" t="s">
        <v>33</v>
      </c>
      <c r="I64">
        <v>1</v>
      </c>
      <c r="J64">
        <v>7999</v>
      </c>
      <c r="K64">
        <v>7999</v>
      </c>
      <c r="L64">
        <v>5</v>
      </c>
      <c r="M64">
        <v>7599.05</v>
      </c>
      <c r="N64">
        <v>2</v>
      </c>
      <c r="O64" t="s">
        <v>25</v>
      </c>
      <c r="P64" t="s">
        <v>26</v>
      </c>
      <c r="R64">
        <v>7600</v>
      </c>
    </row>
    <row r="65" spans="1:18" ht="15" customHeight="1" x14ac:dyDescent="0.3">
      <c r="A65" t="s">
        <v>202</v>
      </c>
      <c r="B65" t="s">
        <v>42</v>
      </c>
      <c r="C65">
        <v>4</v>
      </c>
      <c r="D65" t="s">
        <v>203</v>
      </c>
      <c r="E65" t="s">
        <v>65</v>
      </c>
      <c r="F65" t="s">
        <v>31</v>
      </c>
      <c r="G65" t="s">
        <v>181</v>
      </c>
      <c r="H65" t="s">
        <v>40</v>
      </c>
      <c r="I65">
        <v>13</v>
      </c>
      <c r="J65">
        <v>299</v>
      </c>
      <c r="K65">
        <v>3887</v>
      </c>
      <c r="L65">
        <v>0</v>
      </c>
      <c r="M65">
        <v>3887</v>
      </c>
      <c r="N65">
        <v>5</v>
      </c>
      <c r="O65" t="s">
        <v>25</v>
      </c>
      <c r="P65" t="s">
        <v>53</v>
      </c>
      <c r="R65">
        <v>3700</v>
      </c>
    </row>
    <row r="66" spans="1:18" ht="15" customHeight="1" x14ac:dyDescent="0.3">
      <c r="A66" t="s">
        <v>204</v>
      </c>
      <c r="B66" t="s">
        <v>48</v>
      </c>
      <c r="C66">
        <v>5</v>
      </c>
      <c r="D66" t="s">
        <v>205</v>
      </c>
      <c r="E66" t="s">
        <v>57</v>
      </c>
      <c r="F66" t="s">
        <v>44</v>
      </c>
      <c r="G66" t="s">
        <v>58</v>
      </c>
      <c r="H66" t="s">
        <v>40</v>
      </c>
      <c r="I66">
        <v>12</v>
      </c>
      <c r="J66">
        <v>7999</v>
      </c>
      <c r="K66">
        <v>95988</v>
      </c>
      <c r="L66">
        <v>10</v>
      </c>
      <c r="M66">
        <v>86389.2</v>
      </c>
      <c r="N66">
        <v>6</v>
      </c>
      <c r="O66" t="s">
        <v>59</v>
      </c>
      <c r="P66" t="s">
        <v>122</v>
      </c>
      <c r="Q66" t="s">
        <v>188</v>
      </c>
      <c r="R66">
        <v>79900</v>
      </c>
    </row>
    <row r="67" spans="1:18" ht="15" customHeight="1" x14ac:dyDescent="0.3">
      <c r="A67" t="s">
        <v>206</v>
      </c>
      <c r="B67" t="s">
        <v>55</v>
      </c>
      <c r="C67">
        <v>6</v>
      </c>
      <c r="D67" t="s">
        <v>207</v>
      </c>
      <c r="E67" t="s">
        <v>118</v>
      </c>
      <c r="F67" t="s">
        <v>31</v>
      </c>
      <c r="G67" t="s">
        <v>134</v>
      </c>
      <c r="H67" t="s">
        <v>33</v>
      </c>
      <c r="I67">
        <v>9</v>
      </c>
      <c r="J67">
        <v>799</v>
      </c>
      <c r="K67">
        <v>7191</v>
      </c>
      <c r="L67">
        <v>5</v>
      </c>
      <c r="M67">
        <v>6831.45</v>
      </c>
      <c r="N67">
        <v>4</v>
      </c>
      <c r="O67" t="s">
        <v>59</v>
      </c>
      <c r="P67" t="s">
        <v>122</v>
      </c>
      <c r="R67">
        <v>7000</v>
      </c>
    </row>
    <row r="68" spans="1:18" ht="15" customHeight="1" x14ac:dyDescent="0.3">
      <c r="A68" t="s">
        <v>208</v>
      </c>
      <c r="B68" t="s">
        <v>63</v>
      </c>
      <c r="C68">
        <v>7</v>
      </c>
      <c r="D68" t="s">
        <v>209</v>
      </c>
      <c r="E68" t="s">
        <v>21</v>
      </c>
      <c r="F68" t="s">
        <v>51</v>
      </c>
      <c r="G68" t="s">
        <v>157</v>
      </c>
      <c r="H68" t="s">
        <v>24</v>
      </c>
      <c r="I68">
        <v>14</v>
      </c>
      <c r="J68">
        <v>999</v>
      </c>
      <c r="K68">
        <v>13986</v>
      </c>
      <c r="L68">
        <v>10</v>
      </c>
      <c r="M68">
        <v>12587.4</v>
      </c>
      <c r="N68">
        <v>4</v>
      </c>
      <c r="O68" t="s">
        <v>25</v>
      </c>
      <c r="P68" t="s">
        <v>122</v>
      </c>
      <c r="R68">
        <v>10800</v>
      </c>
    </row>
    <row r="69" spans="1:18" ht="15" customHeight="1" x14ac:dyDescent="0.3">
      <c r="A69" t="s">
        <v>210</v>
      </c>
      <c r="B69" t="s">
        <v>67</v>
      </c>
      <c r="C69">
        <v>8</v>
      </c>
      <c r="D69" t="s">
        <v>161</v>
      </c>
      <c r="E69" t="s">
        <v>30</v>
      </c>
      <c r="F69" t="s">
        <v>31</v>
      </c>
      <c r="G69" t="s">
        <v>134</v>
      </c>
      <c r="H69" t="s">
        <v>24</v>
      </c>
      <c r="I69">
        <v>9</v>
      </c>
      <c r="J69">
        <v>1499</v>
      </c>
      <c r="K69">
        <v>13491</v>
      </c>
      <c r="L69">
        <v>5</v>
      </c>
      <c r="M69">
        <v>12816.45</v>
      </c>
      <c r="N69">
        <v>8</v>
      </c>
      <c r="O69" t="s">
        <v>25</v>
      </c>
      <c r="P69" t="s">
        <v>60</v>
      </c>
      <c r="R69">
        <v>13100</v>
      </c>
    </row>
    <row r="70" spans="1:18" ht="15" customHeight="1" x14ac:dyDescent="0.3">
      <c r="A70" t="s">
        <v>211</v>
      </c>
      <c r="B70" t="s">
        <v>70</v>
      </c>
      <c r="C70">
        <v>9</v>
      </c>
      <c r="D70" t="s">
        <v>212</v>
      </c>
      <c r="E70" t="s">
        <v>57</v>
      </c>
      <c r="F70" t="s">
        <v>72</v>
      </c>
      <c r="G70" t="s">
        <v>103</v>
      </c>
      <c r="H70" t="s">
        <v>24</v>
      </c>
      <c r="I70">
        <v>1</v>
      </c>
      <c r="J70">
        <v>1499</v>
      </c>
      <c r="K70">
        <v>1499</v>
      </c>
      <c r="L70">
        <v>15</v>
      </c>
      <c r="M70">
        <v>1274.1500000000001</v>
      </c>
      <c r="N70">
        <v>2</v>
      </c>
      <c r="O70" t="s">
        <v>88</v>
      </c>
      <c r="P70" t="s">
        <v>26</v>
      </c>
      <c r="R70">
        <v>1300</v>
      </c>
    </row>
    <row r="71" spans="1:18" ht="15" customHeight="1" x14ac:dyDescent="0.3">
      <c r="A71" t="s">
        <v>213</v>
      </c>
      <c r="B71" t="s">
        <v>75</v>
      </c>
      <c r="C71">
        <v>10</v>
      </c>
      <c r="D71" t="s">
        <v>165</v>
      </c>
      <c r="E71" t="s">
        <v>94</v>
      </c>
      <c r="F71" t="s">
        <v>22</v>
      </c>
      <c r="G71" t="s">
        <v>39</v>
      </c>
      <c r="H71" t="s">
        <v>33</v>
      </c>
      <c r="I71">
        <v>5</v>
      </c>
      <c r="J71">
        <v>499</v>
      </c>
      <c r="K71">
        <v>2495</v>
      </c>
      <c r="L71">
        <v>5</v>
      </c>
      <c r="M71">
        <v>2370.25</v>
      </c>
      <c r="N71">
        <v>2</v>
      </c>
      <c r="O71" t="s">
        <v>25</v>
      </c>
      <c r="P71" t="s">
        <v>26</v>
      </c>
      <c r="R71">
        <v>2400</v>
      </c>
    </row>
    <row r="72" spans="1:18" ht="15" customHeight="1" x14ac:dyDescent="0.3">
      <c r="A72" t="s">
        <v>214</v>
      </c>
      <c r="B72" t="s">
        <v>79</v>
      </c>
      <c r="C72">
        <v>11</v>
      </c>
      <c r="D72" t="s">
        <v>142</v>
      </c>
      <c r="E72" t="s">
        <v>38</v>
      </c>
      <c r="F72" t="s">
        <v>51</v>
      </c>
      <c r="G72" t="s">
        <v>95</v>
      </c>
      <c r="H72" t="s">
        <v>40</v>
      </c>
      <c r="I72">
        <v>15</v>
      </c>
      <c r="J72">
        <v>4999</v>
      </c>
      <c r="K72">
        <v>74985</v>
      </c>
      <c r="L72">
        <v>10</v>
      </c>
      <c r="M72">
        <v>67486.5</v>
      </c>
      <c r="N72">
        <v>10</v>
      </c>
      <c r="O72" t="s">
        <v>46</v>
      </c>
      <c r="P72" t="s">
        <v>122</v>
      </c>
      <c r="R72">
        <v>68900</v>
      </c>
    </row>
    <row r="73" spans="1:18" ht="15" customHeight="1" x14ac:dyDescent="0.3">
      <c r="A73" t="s">
        <v>215</v>
      </c>
      <c r="B73" t="s">
        <v>83</v>
      </c>
      <c r="C73">
        <v>12</v>
      </c>
      <c r="D73" t="s">
        <v>216</v>
      </c>
      <c r="E73" t="s">
        <v>50</v>
      </c>
      <c r="F73" t="s">
        <v>51</v>
      </c>
      <c r="G73" t="s">
        <v>115</v>
      </c>
      <c r="H73" t="s">
        <v>33</v>
      </c>
      <c r="I73">
        <v>4</v>
      </c>
      <c r="J73">
        <v>1499</v>
      </c>
      <c r="K73">
        <v>5996</v>
      </c>
      <c r="L73">
        <v>0</v>
      </c>
      <c r="M73">
        <v>5996</v>
      </c>
      <c r="N73">
        <v>3</v>
      </c>
      <c r="O73" t="s">
        <v>25</v>
      </c>
      <c r="P73" t="s">
        <v>34</v>
      </c>
      <c r="R73">
        <v>5200</v>
      </c>
    </row>
    <row r="74" spans="1:18" ht="15" customHeight="1" x14ac:dyDescent="0.3">
      <c r="A74" t="s">
        <v>217</v>
      </c>
      <c r="B74" t="s">
        <v>19</v>
      </c>
      <c r="C74">
        <v>1</v>
      </c>
      <c r="D74" t="s">
        <v>146</v>
      </c>
      <c r="E74" t="s">
        <v>65</v>
      </c>
      <c r="F74" t="s">
        <v>72</v>
      </c>
      <c r="G74" t="s">
        <v>103</v>
      </c>
      <c r="H74" t="s">
        <v>40</v>
      </c>
      <c r="I74">
        <v>1</v>
      </c>
      <c r="J74">
        <v>999</v>
      </c>
      <c r="K74">
        <v>999</v>
      </c>
      <c r="L74">
        <v>10</v>
      </c>
      <c r="M74">
        <v>899.1</v>
      </c>
      <c r="N74">
        <v>5</v>
      </c>
      <c r="O74" t="s">
        <v>59</v>
      </c>
      <c r="P74" t="s">
        <v>26</v>
      </c>
      <c r="Q74" t="s">
        <v>218</v>
      </c>
      <c r="R74">
        <v>900</v>
      </c>
    </row>
    <row r="75" spans="1:18" ht="15" customHeight="1" x14ac:dyDescent="0.3">
      <c r="A75" t="s">
        <v>219</v>
      </c>
      <c r="B75" t="s">
        <v>28</v>
      </c>
      <c r="C75">
        <v>2</v>
      </c>
      <c r="D75" t="s">
        <v>220</v>
      </c>
      <c r="E75" t="s">
        <v>38</v>
      </c>
      <c r="F75" t="s">
        <v>51</v>
      </c>
      <c r="G75" t="s">
        <v>95</v>
      </c>
      <c r="H75" t="s">
        <v>24</v>
      </c>
      <c r="I75">
        <v>9</v>
      </c>
      <c r="J75">
        <v>999</v>
      </c>
      <c r="K75">
        <v>8991</v>
      </c>
      <c r="L75">
        <v>5</v>
      </c>
      <c r="M75">
        <v>8541.4500000000007</v>
      </c>
      <c r="N75">
        <v>5</v>
      </c>
      <c r="O75" t="s">
        <v>88</v>
      </c>
      <c r="P75" t="s">
        <v>60</v>
      </c>
      <c r="R75">
        <v>7400</v>
      </c>
    </row>
    <row r="76" spans="1:18" ht="15" customHeight="1" x14ac:dyDescent="0.3">
      <c r="A76" t="s">
        <v>221</v>
      </c>
      <c r="B76" t="s">
        <v>36</v>
      </c>
      <c r="C76">
        <v>3</v>
      </c>
      <c r="D76" t="s">
        <v>222</v>
      </c>
      <c r="E76" t="s">
        <v>21</v>
      </c>
      <c r="F76" t="s">
        <v>44</v>
      </c>
      <c r="G76" t="s">
        <v>45</v>
      </c>
      <c r="H76" t="s">
        <v>40</v>
      </c>
      <c r="I76">
        <v>2</v>
      </c>
      <c r="J76">
        <v>4999</v>
      </c>
      <c r="K76">
        <v>9998</v>
      </c>
      <c r="L76">
        <v>10</v>
      </c>
      <c r="M76">
        <v>8998.2000000000007</v>
      </c>
      <c r="N76">
        <v>7</v>
      </c>
      <c r="O76" t="s">
        <v>46</v>
      </c>
      <c r="P76" t="s">
        <v>34</v>
      </c>
      <c r="R76">
        <v>9100</v>
      </c>
    </row>
    <row r="77" spans="1:18" ht="15" customHeight="1" x14ac:dyDescent="0.3">
      <c r="A77" t="s">
        <v>223</v>
      </c>
      <c r="B77" t="s">
        <v>42</v>
      </c>
      <c r="C77">
        <v>4</v>
      </c>
      <c r="D77" t="s">
        <v>224</v>
      </c>
      <c r="E77" t="s">
        <v>30</v>
      </c>
      <c r="F77" t="s">
        <v>22</v>
      </c>
      <c r="G77" t="s">
        <v>121</v>
      </c>
      <c r="H77" t="s">
        <v>40</v>
      </c>
      <c r="I77">
        <v>12</v>
      </c>
      <c r="J77">
        <v>1999</v>
      </c>
      <c r="K77">
        <v>23988</v>
      </c>
      <c r="L77">
        <v>20</v>
      </c>
      <c r="M77">
        <v>19190.400000000001</v>
      </c>
      <c r="N77">
        <v>5</v>
      </c>
      <c r="O77" t="s">
        <v>25</v>
      </c>
      <c r="P77" t="s">
        <v>53</v>
      </c>
      <c r="R77">
        <v>21800</v>
      </c>
    </row>
    <row r="78" spans="1:18" ht="15" customHeight="1" x14ac:dyDescent="0.3">
      <c r="A78" t="s">
        <v>225</v>
      </c>
      <c r="B78" t="s">
        <v>48</v>
      </c>
      <c r="C78">
        <v>5</v>
      </c>
      <c r="D78" t="s">
        <v>226</v>
      </c>
      <c r="E78" t="s">
        <v>30</v>
      </c>
      <c r="F78" t="s">
        <v>51</v>
      </c>
      <c r="G78" t="s">
        <v>157</v>
      </c>
      <c r="H78" t="s">
        <v>33</v>
      </c>
      <c r="I78">
        <v>14</v>
      </c>
      <c r="J78">
        <v>1499</v>
      </c>
      <c r="K78">
        <v>20986</v>
      </c>
      <c r="L78">
        <v>20</v>
      </c>
      <c r="M78">
        <v>16788.8</v>
      </c>
      <c r="N78">
        <v>1</v>
      </c>
      <c r="O78" t="s">
        <v>59</v>
      </c>
      <c r="P78" t="s">
        <v>53</v>
      </c>
      <c r="Q78" t="s">
        <v>149</v>
      </c>
      <c r="R78">
        <v>16900</v>
      </c>
    </row>
    <row r="79" spans="1:18" ht="15" customHeight="1" x14ac:dyDescent="0.3">
      <c r="A79" t="s">
        <v>227</v>
      </c>
      <c r="B79" t="s">
        <v>55</v>
      </c>
      <c r="C79">
        <v>6</v>
      </c>
      <c r="D79" t="s">
        <v>228</v>
      </c>
      <c r="E79" t="s">
        <v>38</v>
      </c>
      <c r="F79" t="s">
        <v>44</v>
      </c>
      <c r="G79" t="s">
        <v>125</v>
      </c>
      <c r="H79" t="s">
        <v>33</v>
      </c>
      <c r="I79">
        <v>14</v>
      </c>
      <c r="J79">
        <v>4999</v>
      </c>
      <c r="K79">
        <v>69986</v>
      </c>
      <c r="L79">
        <v>0</v>
      </c>
      <c r="M79">
        <v>69986</v>
      </c>
      <c r="N79">
        <v>8</v>
      </c>
      <c r="O79" t="s">
        <v>25</v>
      </c>
      <c r="P79" t="s">
        <v>122</v>
      </c>
      <c r="R79">
        <v>66200</v>
      </c>
    </row>
    <row r="80" spans="1:18" ht="15" customHeight="1" x14ac:dyDescent="0.3">
      <c r="A80" t="s">
        <v>229</v>
      </c>
      <c r="B80" t="s">
        <v>63</v>
      </c>
      <c r="C80">
        <v>7</v>
      </c>
      <c r="D80" t="s">
        <v>230</v>
      </c>
      <c r="E80" t="s">
        <v>38</v>
      </c>
      <c r="F80" t="s">
        <v>31</v>
      </c>
      <c r="G80" t="s">
        <v>134</v>
      </c>
      <c r="H80" t="s">
        <v>33</v>
      </c>
      <c r="I80">
        <v>8</v>
      </c>
      <c r="J80">
        <v>1499</v>
      </c>
      <c r="K80">
        <v>11992</v>
      </c>
      <c r="L80">
        <v>15</v>
      </c>
      <c r="M80">
        <v>10193.200000000001</v>
      </c>
      <c r="N80">
        <v>9</v>
      </c>
      <c r="O80" t="s">
        <v>25</v>
      </c>
      <c r="P80" t="s">
        <v>60</v>
      </c>
      <c r="R80">
        <v>9600</v>
      </c>
    </row>
    <row r="81" spans="1:18" ht="15" customHeight="1" x14ac:dyDescent="0.3">
      <c r="A81" t="s">
        <v>231</v>
      </c>
      <c r="B81" t="s">
        <v>67</v>
      </c>
      <c r="C81">
        <v>8</v>
      </c>
      <c r="D81" t="s">
        <v>232</v>
      </c>
      <c r="E81" t="s">
        <v>30</v>
      </c>
      <c r="F81" t="s">
        <v>22</v>
      </c>
      <c r="G81" t="s">
        <v>152</v>
      </c>
      <c r="H81" t="s">
        <v>33</v>
      </c>
      <c r="I81">
        <v>14</v>
      </c>
      <c r="J81">
        <v>7999</v>
      </c>
      <c r="K81">
        <v>111986</v>
      </c>
      <c r="L81">
        <v>15</v>
      </c>
      <c r="M81">
        <v>95188.1</v>
      </c>
      <c r="N81">
        <v>7</v>
      </c>
      <c r="O81" t="s">
        <v>25</v>
      </c>
      <c r="P81" t="s">
        <v>34</v>
      </c>
      <c r="R81">
        <v>91200</v>
      </c>
    </row>
    <row r="82" spans="1:18" ht="15" customHeight="1" x14ac:dyDescent="0.3">
      <c r="A82" t="s">
        <v>233</v>
      </c>
      <c r="B82" t="s">
        <v>70</v>
      </c>
      <c r="C82">
        <v>9</v>
      </c>
      <c r="D82" t="s">
        <v>234</v>
      </c>
      <c r="E82" t="s">
        <v>30</v>
      </c>
      <c r="F82" t="s">
        <v>72</v>
      </c>
      <c r="G82" t="s">
        <v>103</v>
      </c>
      <c r="H82" t="s">
        <v>24</v>
      </c>
      <c r="I82">
        <v>5</v>
      </c>
      <c r="J82">
        <v>7999</v>
      </c>
      <c r="K82">
        <v>39995</v>
      </c>
      <c r="L82">
        <v>5</v>
      </c>
      <c r="M82">
        <v>37995.25</v>
      </c>
      <c r="N82">
        <v>5</v>
      </c>
      <c r="O82" t="s">
        <v>25</v>
      </c>
      <c r="P82" t="s">
        <v>26</v>
      </c>
      <c r="R82">
        <v>33700</v>
      </c>
    </row>
    <row r="83" spans="1:18" ht="15" customHeight="1" x14ac:dyDescent="0.3">
      <c r="A83" t="s">
        <v>235</v>
      </c>
      <c r="B83" t="s">
        <v>75</v>
      </c>
      <c r="C83">
        <v>10</v>
      </c>
      <c r="D83" t="s">
        <v>236</v>
      </c>
      <c r="E83" t="s">
        <v>94</v>
      </c>
      <c r="F83" t="s">
        <v>51</v>
      </c>
      <c r="G83" t="s">
        <v>95</v>
      </c>
      <c r="H83" t="s">
        <v>40</v>
      </c>
      <c r="I83">
        <v>9</v>
      </c>
      <c r="J83">
        <v>299</v>
      </c>
      <c r="K83">
        <v>2691</v>
      </c>
      <c r="L83">
        <v>20</v>
      </c>
      <c r="M83">
        <v>2152.8000000000002</v>
      </c>
      <c r="N83">
        <v>7</v>
      </c>
      <c r="O83" t="s">
        <v>25</v>
      </c>
      <c r="P83" t="s">
        <v>60</v>
      </c>
      <c r="R83">
        <v>2100</v>
      </c>
    </row>
    <row r="84" spans="1:18" ht="15" customHeight="1" x14ac:dyDescent="0.3">
      <c r="A84" t="s">
        <v>237</v>
      </c>
      <c r="B84" t="s">
        <v>79</v>
      </c>
      <c r="C84">
        <v>11</v>
      </c>
      <c r="D84" t="s">
        <v>238</v>
      </c>
      <c r="E84" t="s">
        <v>21</v>
      </c>
      <c r="F84" t="s">
        <v>31</v>
      </c>
      <c r="G84" t="s">
        <v>181</v>
      </c>
      <c r="H84" t="s">
        <v>33</v>
      </c>
      <c r="I84">
        <v>12</v>
      </c>
      <c r="J84">
        <v>1499</v>
      </c>
      <c r="K84">
        <v>17988</v>
      </c>
      <c r="L84">
        <v>15</v>
      </c>
      <c r="M84">
        <v>15289.8</v>
      </c>
      <c r="N84">
        <v>8</v>
      </c>
      <c r="O84" t="s">
        <v>46</v>
      </c>
      <c r="P84" t="s">
        <v>53</v>
      </c>
      <c r="R84">
        <v>15100</v>
      </c>
    </row>
    <row r="85" spans="1:18" ht="15" customHeight="1" x14ac:dyDescent="0.3">
      <c r="A85" t="s">
        <v>239</v>
      </c>
      <c r="B85" t="s">
        <v>83</v>
      </c>
      <c r="C85">
        <v>12</v>
      </c>
      <c r="D85" t="s">
        <v>240</v>
      </c>
      <c r="E85" t="s">
        <v>94</v>
      </c>
      <c r="F85" t="s">
        <v>72</v>
      </c>
      <c r="G85" t="s">
        <v>73</v>
      </c>
      <c r="H85" t="s">
        <v>24</v>
      </c>
      <c r="I85">
        <v>5</v>
      </c>
      <c r="J85">
        <v>2999</v>
      </c>
      <c r="K85">
        <v>14995</v>
      </c>
      <c r="L85">
        <v>10</v>
      </c>
      <c r="M85">
        <v>13495.5</v>
      </c>
      <c r="N85">
        <v>9</v>
      </c>
      <c r="O85" t="s">
        <v>25</v>
      </c>
      <c r="P85" t="s">
        <v>60</v>
      </c>
      <c r="R85">
        <v>12600</v>
      </c>
    </row>
    <row r="86" spans="1:18" ht="15" customHeight="1" x14ac:dyDescent="0.3">
      <c r="A86" t="s">
        <v>241</v>
      </c>
      <c r="B86" t="s">
        <v>19</v>
      </c>
      <c r="C86">
        <v>1</v>
      </c>
      <c r="D86" t="s">
        <v>242</v>
      </c>
      <c r="E86" t="s">
        <v>65</v>
      </c>
      <c r="F86" t="s">
        <v>51</v>
      </c>
      <c r="G86" t="s">
        <v>157</v>
      </c>
      <c r="H86" t="s">
        <v>24</v>
      </c>
      <c r="I86">
        <v>8</v>
      </c>
      <c r="J86">
        <v>7999</v>
      </c>
      <c r="K86">
        <v>63992</v>
      </c>
      <c r="L86">
        <v>15</v>
      </c>
      <c r="M86">
        <v>54393.2</v>
      </c>
      <c r="N86">
        <v>6</v>
      </c>
      <c r="O86" t="s">
        <v>25</v>
      </c>
      <c r="P86" t="s">
        <v>34</v>
      </c>
      <c r="R86">
        <v>52400</v>
      </c>
    </row>
    <row r="87" spans="1:18" ht="15" customHeight="1" x14ac:dyDescent="0.3">
      <c r="A87" t="s">
        <v>243</v>
      </c>
      <c r="B87" t="s">
        <v>28</v>
      </c>
      <c r="C87">
        <v>2</v>
      </c>
      <c r="D87" t="s">
        <v>220</v>
      </c>
      <c r="E87" t="s">
        <v>38</v>
      </c>
      <c r="F87" t="s">
        <v>31</v>
      </c>
      <c r="G87" t="s">
        <v>32</v>
      </c>
      <c r="H87" t="s">
        <v>24</v>
      </c>
      <c r="I87">
        <v>14</v>
      </c>
      <c r="J87">
        <v>2999</v>
      </c>
      <c r="K87">
        <v>41986</v>
      </c>
      <c r="L87">
        <v>0</v>
      </c>
      <c r="M87">
        <v>41986</v>
      </c>
      <c r="N87">
        <v>6</v>
      </c>
      <c r="O87" t="s">
        <v>59</v>
      </c>
      <c r="P87" t="s">
        <v>26</v>
      </c>
      <c r="Q87" t="s">
        <v>149</v>
      </c>
      <c r="R87">
        <v>48100</v>
      </c>
    </row>
    <row r="88" spans="1:18" ht="15" customHeight="1" x14ac:dyDescent="0.3">
      <c r="A88" t="s">
        <v>244</v>
      </c>
      <c r="B88" t="s">
        <v>36</v>
      </c>
      <c r="C88">
        <v>3</v>
      </c>
      <c r="D88" t="s">
        <v>222</v>
      </c>
      <c r="E88" t="s">
        <v>30</v>
      </c>
      <c r="F88" t="s">
        <v>31</v>
      </c>
      <c r="G88" t="s">
        <v>181</v>
      </c>
      <c r="H88" t="s">
        <v>24</v>
      </c>
      <c r="I88">
        <v>9</v>
      </c>
      <c r="J88">
        <v>12999</v>
      </c>
      <c r="K88">
        <v>116991</v>
      </c>
      <c r="L88">
        <v>10</v>
      </c>
      <c r="M88">
        <v>105291.9</v>
      </c>
      <c r="N88">
        <v>2</v>
      </c>
      <c r="O88" t="s">
        <v>88</v>
      </c>
      <c r="P88" t="s">
        <v>26</v>
      </c>
      <c r="R88">
        <v>92600</v>
      </c>
    </row>
    <row r="89" spans="1:18" ht="15" customHeight="1" x14ac:dyDescent="0.3">
      <c r="A89" t="s">
        <v>245</v>
      </c>
      <c r="B89" t="s">
        <v>42</v>
      </c>
      <c r="C89">
        <v>4</v>
      </c>
      <c r="D89" t="s">
        <v>246</v>
      </c>
      <c r="E89" t="s">
        <v>38</v>
      </c>
      <c r="F89" t="s">
        <v>22</v>
      </c>
      <c r="G89" t="s">
        <v>39</v>
      </c>
      <c r="H89" t="s">
        <v>33</v>
      </c>
      <c r="I89">
        <v>3</v>
      </c>
      <c r="J89">
        <v>499</v>
      </c>
      <c r="K89">
        <v>1497</v>
      </c>
      <c r="L89">
        <v>15</v>
      </c>
      <c r="M89">
        <v>1272.45</v>
      </c>
      <c r="N89">
        <v>5</v>
      </c>
      <c r="O89" t="s">
        <v>25</v>
      </c>
      <c r="P89" t="s">
        <v>26</v>
      </c>
      <c r="R89">
        <v>1300</v>
      </c>
    </row>
    <row r="90" spans="1:18" ht="15" customHeight="1" x14ac:dyDescent="0.3">
      <c r="A90" t="s">
        <v>247</v>
      </c>
      <c r="B90" t="s">
        <v>48</v>
      </c>
      <c r="C90">
        <v>5</v>
      </c>
      <c r="D90" t="s">
        <v>248</v>
      </c>
      <c r="E90" t="s">
        <v>38</v>
      </c>
      <c r="F90" t="s">
        <v>44</v>
      </c>
      <c r="G90" t="s">
        <v>45</v>
      </c>
      <c r="H90" t="s">
        <v>40</v>
      </c>
      <c r="I90">
        <v>11</v>
      </c>
      <c r="J90">
        <v>4999</v>
      </c>
      <c r="K90">
        <v>54989</v>
      </c>
      <c r="L90">
        <v>20</v>
      </c>
      <c r="M90">
        <v>43991.199999999997</v>
      </c>
      <c r="N90">
        <v>1</v>
      </c>
      <c r="O90" t="s">
        <v>25</v>
      </c>
      <c r="P90" t="s">
        <v>53</v>
      </c>
      <c r="R90">
        <v>45700</v>
      </c>
    </row>
    <row r="91" spans="1:18" ht="15" customHeight="1" x14ac:dyDescent="0.3">
      <c r="A91" t="s">
        <v>249</v>
      </c>
      <c r="B91" t="s">
        <v>55</v>
      </c>
      <c r="C91">
        <v>6</v>
      </c>
      <c r="D91" t="s">
        <v>250</v>
      </c>
      <c r="E91" t="s">
        <v>38</v>
      </c>
      <c r="F91" t="s">
        <v>31</v>
      </c>
      <c r="G91" t="s">
        <v>251</v>
      </c>
      <c r="H91" t="s">
        <v>24</v>
      </c>
      <c r="I91">
        <v>13</v>
      </c>
      <c r="J91">
        <v>24999</v>
      </c>
      <c r="K91">
        <v>324987</v>
      </c>
      <c r="L91">
        <v>0</v>
      </c>
      <c r="M91">
        <v>324987</v>
      </c>
      <c r="N91">
        <v>8</v>
      </c>
      <c r="O91" t="s">
        <v>25</v>
      </c>
      <c r="P91" t="s">
        <v>122</v>
      </c>
      <c r="R91">
        <v>364300</v>
      </c>
    </row>
    <row r="92" spans="1:18" ht="15" customHeight="1" x14ac:dyDescent="0.3">
      <c r="A92" t="s">
        <v>252</v>
      </c>
      <c r="B92" t="s">
        <v>63</v>
      </c>
      <c r="C92">
        <v>7</v>
      </c>
      <c r="D92" t="s">
        <v>253</v>
      </c>
      <c r="E92" t="s">
        <v>21</v>
      </c>
      <c r="F92" t="s">
        <v>44</v>
      </c>
      <c r="G92" t="s">
        <v>85</v>
      </c>
      <c r="H92" t="s">
        <v>40</v>
      </c>
      <c r="I92">
        <v>6</v>
      </c>
      <c r="J92">
        <v>2999</v>
      </c>
      <c r="K92">
        <v>17994</v>
      </c>
      <c r="L92">
        <v>5</v>
      </c>
      <c r="M92">
        <v>17094.3</v>
      </c>
      <c r="N92">
        <v>4</v>
      </c>
      <c r="O92" t="s">
        <v>25</v>
      </c>
      <c r="P92" t="s">
        <v>34</v>
      </c>
      <c r="R92">
        <v>18000</v>
      </c>
    </row>
    <row r="93" spans="1:18" ht="15" customHeight="1" x14ac:dyDescent="0.3">
      <c r="A93" t="s">
        <v>254</v>
      </c>
      <c r="B93" t="s">
        <v>67</v>
      </c>
      <c r="C93">
        <v>8</v>
      </c>
      <c r="D93" t="s">
        <v>255</v>
      </c>
      <c r="E93" t="s">
        <v>118</v>
      </c>
      <c r="F93" t="s">
        <v>31</v>
      </c>
      <c r="G93" t="s">
        <v>32</v>
      </c>
      <c r="H93" t="s">
        <v>33</v>
      </c>
      <c r="I93">
        <v>14</v>
      </c>
      <c r="J93">
        <v>2999</v>
      </c>
      <c r="K93">
        <v>41986</v>
      </c>
      <c r="L93">
        <v>20</v>
      </c>
      <c r="M93">
        <v>33588.800000000003</v>
      </c>
      <c r="N93">
        <v>4</v>
      </c>
      <c r="O93" t="s">
        <v>25</v>
      </c>
      <c r="P93" t="s">
        <v>34</v>
      </c>
      <c r="R93">
        <v>30000</v>
      </c>
    </row>
    <row r="94" spans="1:18" ht="15" customHeight="1" x14ac:dyDescent="0.3">
      <c r="A94" t="s">
        <v>256</v>
      </c>
      <c r="B94" t="s">
        <v>70</v>
      </c>
      <c r="C94">
        <v>9</v>
      </c>
      <c r="D94" t="s">
        <v>212</v>
      </c>
      <c r="E94" t="s">
        <v>21</v>
      </c>
      <c r="F94" t="s">
        <v>44</v>
      </c>
      <c r="G94" t="s">
        <v>58</v>
      </c>
      <c r="H94" t="s">
        <v>33</v>
      </c>
      <c r="I94">
        <v>1</v>
      </c>
      <c r="J94">
        <v>4999</v>
      </c>
      <c r="K94">
        <v>4999</v>
      </c>
      <c r="L94">
        <v>10</v>
      </c>
      <c r="M94">
        <v>4499.1000000000004</v>
      </c>
      <c r="N94">
        <v>9</v>
      </c>
      <c r="O94" t="s">
        <v>25</v>
      </c>
      <c r="P94" t="s">
        <v>26</v>
      </c>
      <c r="R94">
        <v>5100</v>
      </c>
    </row>
    <row r="95" spans="1:18" ht="15" customHeight="1" x14ac:dyDescent="0.3">
      <c r="A95" t="s">
        <v>257</v>
      </c>
      <c r="B95" t="s">
        <v>75</v>
      </c>
      <c r="C95">
        <v>10</v>
      </c>
      <c r="D95" t="s">
        <v>258</v>
      </c>
      <c r="E95" t="s">
        <v>21</v>
      </c>
      <c r="F95" t="s">
        <v>44</v>
      </c>
      <c r="G95" t="s">
        <v>58</v>
      </c>
      <c r="H95" t="s">
        <v>40</v>
      </c>
      <c r="I95">
        <v>14</v>
      </c>
      <c r="J95">
        <v>1499</v>
      </c>
      <c r="K95">
        <v>20986</v>
      </c>
      <c r="L95">
        <v>5</v>
      </c>
      <c r="M95">
        <v>19936.7</v>
      </c>
      <c r="N95">
        <v>7</v>
      </c>
      <c r="O95" t="s">
        <v>88</v>
      </c>
      <c r="P95" t="s">
        <v>60</v>
      </c>
      <c r="R95">
        <v>18400</v>
      </c>
    </row>
    <row r="96" spans="1:18" ht="15" customHeight="1" x14ac:dyDescent="0.3">
      <c r="A96" t="s">
        <v>259</v>
      </c>
      <c r="B96" t="s">
        <v>79</v>
      </c>
      <c r="C96">
        <v>11</v>
      </c>
      <c r="D96" t="s">
        <v>260</v>
      </c>
      <c r="E96" t="s">
        <v>21</v>
      </c>
      <c r="F96" t="s">
        <v>44</v>
      </c>
      <c r="G96" t="s">
        <v>45</v>
      </c>
      <c r="H96" t="s">
        <v>33</v>
      </c>
      <c r="I96">
        <v>5</v>
      </c>
      <c r="J96">
        <v>299</v>
      </c>
      <c r="K96">
        <v>1495</v>
      </c>
      <c r="L96">
        <v>15</v>
      </c>
      <c r="M96">
        <v>1270.75</v>
      </c>
      <c r="N96">
        <v>5</v>
      </c>
      <c r="O96" t="s">
        <v>25</v>
      </c>
      <c r="P96" t="s">
        <v>60</v>
      </c>
      <c r="R96">
        <v>1400</v>
      </c>
    </row>
    <row r="97" spans="1:18" ht="15" customHeight="1" x14ac:dyDescent="0.3">
      <c r="A97" t="s">
        <v>261</v>
      </c>
      <c r="B97" t="s">
        <v>83</v>
      </c>
      <c r="C97">
        <v>12</v>
      </c>
      <c r="D97" t="s">
        <v>194</v>
      </c>
      <c r="E97" t="s">
        <v>50</v>
      </c>
      <c r="F97" t="s">
        <v>72</v>
      </c>
      <c r="G97" t="s">
        <v>112</v>
      </c>
      <c r="H97" t="s">
        <v>33</v>
      </c>
      <c r="I97">
        <v>13</v>
      </c>
      <c r="J97">
        <v>1999</v>
      </c>
      <c r="K97">
        <v>25987</v>
      </c>
      <c r="L97">
        <v>5</v>
      </c>
      <c r="M97">
        <v>24687.65</v>
      </c>
      <c r="N97">
        <v>4</v>
      </c>
      <c r="O97" t="s">
        <v>25</v>
      </c>
      <c r="P97" t="s">
        <v>53</v>
      </c>
      <c r="R97">
        <v>25600</v>
      </c>
    </row>
    <row r="98" spans="1:18" ht="15" customHeight="1" x14ac:dyDescent="0.3">
      <c r="A98" t="s">
        <v>262</v>
      </c>
      <c r="B98" t="s">
        <v>19</v>
      </c>
      <c r="C98">
        <v>1</v>
      </c>
      <c r="D98" t="s">
        <v>263</v>
      </c>
      <c r="E98" t="s">
        <v>65</v>
      </c>
      <c r="F98" t="s">
        <v>22</v>
      </c>
      <c r="G98" t="s">
        <v>91</v>
      </c>
      <c r="H98" t="s">
        <v>24</v>
      </c>
      <c r="I98">
        <v>10</v>
      </c>
      <c r="J98">
        <v>1999</v>
      </c>
      <c r="K98">
        <v>19990</v>
      </c>
      <c r="L98">
        <v>5</v>
      </c>
      <c r="M98">
        <v>18990.5</v>
      </c>
      <c r="N98">
        <v>2</v>
      </c>
      <c r="O98" t="s">
        <v>88</v>
      </c>
      <c r="P98" t="s">
        <v>122</v>
      </c>
      <c r="R98">
        <v>20400</v>
      </c>
    </row>
    <row r="99" spans="1:18" ht="15" customHeight="1" x14ac:dyDescent="0.3">
      <c r="A99" t="s">
        <v>264</v>
      </c>
      <c r="B99" t="s">
        <v>28</v>
      </c>
      <c r="C99">
        <v>2</v>
      </c>
      <c r="D99" t="s">
        <v>265</v>
      </c>
      <c r="E99" t="s">
        <v>57</v>
      </c>
      <c r="F99" t="s">
        <v>31</v>
      </c>
      <c r="G99" t="s">
        <v>32</v>
      </c>
      <c r="H99" t="s">
        <v>33</v>
      </c>
      <c r="I99">
        <v>9</v>
      </c>
      <c r="J99">
        <v>1499</v>
      </c>
      <c r="K99">
        <v>13491</v>
      </c>
      <c r="L99">
        <v>5</v>
      </c>
      <c r="M99">
        <v>12816.45</v>
      </c>
      <c r="N99">
        <v>5</v>
      </c>
      <c r="O99" t="s">
        <v>88</v>
      </c>
      <c r="P99" t="s">
        <v>26</v>
      </c>
      <c r="R99">
        <v>14600</v>
      </c>
    </row>
    <row r="100" spans="1:18" ht="15" customHeight="1" x14ac:dyDescent="0.3">
      <c r="A100" t="s">
        <v>266</v>
      </c>
      <c r="B100" t="s">
        <v>36</v>
      </c>
      <c r="C100">
        <v>3</v>
      </c>
      <c r="D100" t="s">
        <v>267</v>
      </c>
      <c r="E100" t="s">
        <v>65</v>
      </c>
      <c r="F100" t="s">
        <v>44</v>
      </c>
      <c r="G100" t="s">
        <v>85</v>
      </c>
      <c r="H100" t="s">
        <v>24</v>
      </c>
      <c r="I100">
        <v>3</v>
      </c>
      <c r="J100">
        <v>999</v>
      </c>
      <c r="K100">
        <v>2997</v>
      </c>
      <c r="L100">
        <v>15</v>
      </c>
      <c r="M100">
        <v>2547.4499999999998</v>
      </c>
      <c r="N100">
        <v>9</v>
      </c>
      <c r="O100" t="s">
        <v>25</v>
      </c>
      <c r="P100" t="s">
        <v>26</v>
      </c>
      <c r="R100">
        <v>2200</v>
      </c>
    </row>
    <row r="101" spans="1:18" ht="15" customHeight="1" x14ac:dyDescent="0.3">
      <c r="A101" t="s">
        <v>268</v>
      </c>
      <c r="B101" t="s">
        <v>42</v>
      </c>
      <c r="C101">
        <v>4</v>
      </c>
      <c r="D101" t="s">
        <v>97</v>
      </c>
      <c r="E101" t="s">
        <v>57</v>
      </c>
      <c r="F101" t="s">
        <v>22</v>
      </c>
      <c r="G101" t="s">
        <v>152</v>
      </c>
      <c r="H101" t="s">
        <v>33</v>
      </c>
      <c r="I101">
        <v>12</v>
      </c>
      <c r="J101">
        <v>24999</v>
      </c>
      <c r="K101">
        <v>299988</v>
      </c>
      <c r="L101">
        <v>10</v>
      </c>
      <c r="M101">
        <v>269989.2</v>
      </c>
      <c r="N101">
        <v>10</v>
      </c>
      <c r="O101" t="s">
        <v>25</v>
      </c>
      <c r="P101" t="s">
        <v>122</v>
      </c>
      <c r="R101">
        <v>238300</v>
      </c>
    </row>
    <row r="102" spans="1:18" ht="15" customHeight="1" x14ac:dyDescent="0.3">
      <c r="A102" t="s">
        <v>269</v>
      </c>
      <c r="B102" t="s">
        <v>48</v>
      </c>
      <c r="C102">
        <v>5</v>
      </c>
      <c r="D102" t="s">
        <v>205</v>
      </c>
      <c r="E102" t="s">
        <v>57</v>
      </c>
      <c r="F102" t="s">
        <v>72</v>
      </c>
      <c r="G102" t="s">
        <v>270</v>
      </c>
      <c r="H102" t="s">
        <v>33</v>
      </c>
      <c r="I102">
        <v>4</v>
      </c>
      <c r="J102">
        <v>24999</v>
      </c>
      <c r="K102">
        <v>99996</v>
      </c>
      <c r="L102">
        <v>0</v>
      </c>
      <c r="M102">
        <v>99996</v>
      </c>
      <c r="N102">
        <v>8</v>
      </c>
      <c r="O102" t="s">
        <v>88</v>
      </c>
      <c r="P102" t="s">
        <v>122</v>
      </c>
      <c r="R102">
        <v>104500</v>
      </c>
    </row>
    <row r="103" spans="1:18" ht="15" customHeight="1" x14ac:dyDescent="0.3">
      <c r="A103" t="s">
        <v>271</v>
      </c>
      <c r="B103" t="s">
        <v>55</v>
      </c>
      <c r="C103">
        <v>6</v>
      </c>
      <c r="D103" t="s">
        <v>272</v>
      </c>
      <c r="E103" t="s">
        <v>30</v>
      </c>
      <c r="F103" t="s">
        <v>31</v>
      </c>
      <c r="G103" t="s">
        <v>251</v>
      </c>
      <c r="H103" t="s">
        <v>40</v>
      </c>
      <c r="I103">
        <v>8</v>
      </c>
      <c r="J103">
        <v>499</v>
      </c>
      <c r="K103">
        <v>3992</v>
      </c>
      <c r="L103">
        <v>0</v>
      </c>
      <c r="M103">
        <v>3992</v>
      </c>
      <c r="N103">
        <v>4</v>
      </c>
      <c r="O103" t="s">
        <v>88</v>
      </c>
      <c r="P103" t="s">
        <v>53</v>
      </c>
      <c r="R103">
        <v>3900</v>
      </c>
    </row>
    <row r="104" spans="1:18" ht="15" customHeight="1" x14ac:dyDescent="0.3">
      <c r="A104" t="s">
        <v>273</v>
      </c>
      <c r="B104" t="s">
        <v>63</v>
      </c>
      <c r="C104">
        <v>7</v>
      </c>
      <c r="D104" t="s">
        <v>274</v>
      </c>
      <c r="E104" t="s">
        <v>94</v>
      </c>
      <c r="F104" t="s">
        <v>51</v>
      </c>
      <c r="G104" t="s">
        <v>275</v>
      </c>
      <c r="H104" t="s">
        <v>40</v>
      </c>
      <c r="I104">
        <v>11</v>
      </c>
      <c r="J104">
        <v>499</v>
      </c>
      <c r="K104">
        <v>5489</v>
      </c>
      <c r="L104">
        <v>15</v>
      </c>
      <c r="M104">
        <v>4665.6499999999996</v>
      </c>
      <c r="N104">
        <v>10</v>
      </c>
      <c r="O104" t="s">
        <v>25</v>
      </c>
      <c r="P104" t="s">
        <v>122</v>
      </c>
      <c r="R104">
        <v>4000</v>
      </c>
    </row>
    <row r="105" spans="1:18" ht="15" customHeight="1" x14ac:dyDescent="0.3">
      <c r="A105" t="s">
        <v>276</v>
      </c>
      <c r="B105" t="s">
        <v>67</v>
      </c>
      <c r="C105">
        <v>8</v>
      </c>
      <c r="D105" t="s">
        <v>277</v>
      </c>
      <c r="E105" t="s">
        <v>65</v>
      </c>
      <c r="F105" t="s">
        <v>31</v>
      </c>
      <c r="G105" t="s">
        <v>181</v>
      </c>
      <c r="H105" t="s">
        <v>24</v>
      </c>
      <c r="I105">
        <v>14</v>
      </c>
      <c r="J105">
        <v>1999</v>
      </c>
      <c r="K105">
        <v>27986</v>
      </c>
      <c r="L105">
        <v>0</v>
      </c>
      <c r="M105">
        <v>27986</v>
      </c>
      <c r="N105">
        <v>6</v>
      </c>
      <c r="O105" t="s">
        <v>25</v>
      </c>
      <c r="P105" t="s">
        <v>122</v>
      </c>
      <c r="R105">
        <v>24300</v>
      </c>
    </row>
    <row r="106" spans="1:18" ht="15" customHeight="1" x14ac:dyDescent="0.3">
      <c r="A106" t="s">
        <v>278</v>
      </c>
      <c r="B106" t="s">
        <v>70</v>
      </c>
      <c r="C106">
        <v>9</v>
      </c>
      <c r="D106" t="s">
        <v>163</v>
      </c>
      <c r="E106" t="s">
        <v>65</v>
      </c>
      <c r="F106" t="s">
        <v>31</v>
      </c>
      <c r="G106" t="s">
        <v>251</v>
      </c>
      <c r="H106" t="s">
        <v>24</v>
      </c>
      <c r="I106">
        <v>11</v>
      </c>
      <c r="J106">
        <v>999</v>
      </c>
      <c r="K106">
        <v>10989</v>
      </c>
      <c r="L106">
        <v>20</v>
      </c>
      <c r="M106">
        <v>8791.2000000000007</v>
      </c>
      <c r="N106">
        <v>1</v>
      </c>
      <c r="O106" t="s">
        <v>25</v>
      </c>
      <c r="P106" t="s">
        <v>122</v>
      </c>
      <c r="R106">
        <v>8100</v>
      </c>
    </row>
    <row r="107" spans="1:18" ht="15" customHeight="1" x14ac:dyDescent="0.3">
      <c r="A107" t="s">
        <v>279</v>
      </c>
      <c r="B107" t="s">
        <v>75</v>
      </c>
      <c r="C107">
        <v>10</v>
      </c>
      <c r="D107" t="s">
        <v>280</v>
      </c>
      <c r="E107" t="s">
        <v>118</v>
      </c>
      <c r="F107" t="s">
        <v>51</v>
      </c>
      <c r="G107" t="s">
        <v>95</v>
      </c>
      <c r="H107" t="s">
        <v>33</v>
      </c>
      <c r="I107">
        <v>4</v>
      </c>
      <c r="J107">
        <v>12999</v>
      </c>
      <c r="K107">
        <v>51996</v>
      </c>
      <c r="L107">
        <v>5</v>
      </c>
      <c r="M107">
        <v>49396.2</v>
      </c>
      <c r="N107">
        <v>4</v>
      </c>
      <c r="O107" t="s">
        <v>25</v>
      </c>
      <c r="P107" t="s">
        <v>53</v>
      </c>
      <c r="R107">
        <v>53700</v>
      </c>
    </row>
    <row r="108" spans="1:18" ht="15" customHeight="1" x14ac:dyDescent="0.3">
      <c r="A108" t="s">
        <v>281</v>
      </c>
      <c r="B108" t="s">
        <v>79</v>
      </c>
      <c r="C108">
        <v>11</v>
      </c>
      <c r="D108" t="s">
        <v>282</v>
      </c>
      <c r="E108" t="s">
        <v>94</v>
      </c>
      <c r="F108" t="s">
        <v>22</v>
      </c>
      <c r="G108" t="s">
        <v>91</v>
      </c>
      <c r="H108" t="s">
        <v>24</v>
      </c>
      <c r="I108">
        <v>9</v>
      </c>
      <c r="J108">
        <v>1499</v>
      </c>
      <c r="K108">
        <v>13491</v>
      </c>
      <c r="L108">
        <v>5</v>
      </c>
      <c r="M108">
        <v>12816.45</v>
      </c>
      <c r="N108">
        <v>2</v>
      </c>
      <c r="O108" t="s">
        <v>25</v>
      </c>
      <c r="P108" t="s">
        <v>60</v>
      </c>
      <c r="R108">
        <v>11400</v>
      </c>
    </row>
    <row r="109" spans="1:18" ht="15" customHeight="1" x14ac:dyDescent="0.3">
      <c r="A109" t="s">
        <v>283</v>
      </c>
      <c r="B109" t="s">
        <v>83</v>
      </c>
      <c r="C109">
        <v>12</v>
      </c>
      <c r="D109" t="s">
        <v>284</v>
      </c>
      <c r="E109" t="s">
        <v>57</v>
      </c>
      <c r="F109" t="s">
        <v>31</v>
      </c>
      <c r="G109" t="s">
        <v>77</v>
      </c>
      <c r="H109" t="s">
        <v>24</v>
      </c>
      <c r="I109">
        <v>3</v>
      </c>
      <c r="J109">
        <v>1499</v>
      </c>
      <c r="K109">
        <v>4497</v>
      </c>
      <c r="L109">
        <v>0</v>
      </c>
      <c r="M109">
        <v>4497</v>
      </c>
      <c r="N109">
        <v>3</v>
      </c>
      <c r="O109" t="s">
        <v>59</v>
      </c>
      <c r="P109" t="s">
        <v>34</v>
      </c>
      <c r="Q109" t="s">
        <v>218</v>
      </c>
      <c r="R109">
        <v>4800</v>
      </c>
    </row>
    <row r="110" spans="1:18" ht="15" customHeight="1" x14ac:dyDescent="0.3">
      <c r="A110" t="s">
        <v>285</v>
      </c>
      <c r="B110" t="s">
        <v>19</v>
      </c>
      <c r="C110">
        <v>1</v>
      </c>
      <c r="D110" t="s">
        <v>87</v>
      </c>
      <c r="E110" t="s">
        <v>118</v>
      </c>
      <c r="F110" t="s">
        <v>72</v>
      </c>
      <c r="G110" t="s">
        <v>112</v>
      </c>
      <c r="H110" t="s">
        <v>40</v>
      </c>
      <c r="I110">
        <v>9</v>
      </c>
      <c r="J110">
        <v>999</v>
      </c>
      <c r="K110">
        <v>8991</v>
      </c>
      <c r="L110">
        <v>20</v>
      </c>
      <c r="M110">
        <v>7192.8</v>
      </c>
      <c r="N110">
        <v>1</v>
      </c>
      <c r="O110" t="s">
        <v>59</v>
      </c>
      <c r="P110" t="s">
        <v>34</v>
      </c>
      <c r="Q110" t="s">
        <v>188</v>
      </c>
      <c r="R110">
        <v>7100</v>
      </c>
    </row>
    <row r="111" spans="1:18" ht="15" customHeight="1" x14ac:dyDescent="0.3">
      <c r="A111" t="s">
        <v>286</v>
      </c>
      <c r="B111" t="s">
        <v>28</v>
      </c>
      <c r="C111">
        <v>2</v>
      </c>
      <c r="D111" t="s">
        <v>287</v>
      </c>
      <c r="E111" t="s">
        <v>38</v>
      </c>
      <c r="F111" t="s">
        <v>22</v>
      </c>
      <c r="G111" t="s">
        <v>152</v>
      </c>
      <c r="H111" t="s">
        <v>40</v>
      </c>
      <c r="I111">
        <v>11</v>
      </c>
      <c r="J111">
        <v>499</v>
      </c>
      <c r="K111">
        <v>5489</v>
      </c>
      <c r="L111">
        <v>15</v>
      </c>
      <c r="M111">
        <v>4665.6499999999996</v>
      </c>
      <c r="N111">
        <v>8</v>
      </c>
      <c r="O111" t="s">
        <v>25</v>
      </c>
      <c r="P111" t="s">
        <v>60</v>
      </c>
      <c r="R111">
        <v>4400</v>
      </c>
    </row>
    <row r="112" spans="1:18" ht="15" customHeight="1" x14ac:dyDescent="0.3">
      <c r="A112" t="s">
        <v>288</v>
      </c>
      <c r="B112" t="s">
        <v>36</v>
      </c>
      <c r="C112">
        <v>3</v>
      </c>
      <c r="D112" t="s">
        <v>222</v>
      </c>
      <c r="E112" t="s">
        <v>21</v>
      </c>
      <c r="F112" t="s">
        <v>22</v>
      </c>
      <c r="G112" t="s">
        <v>39</v>
      </c>
      <c r="H112" t="s">
        <v>33</v>
      </c>
      <c r="I112">
        <v>11</v>
      </c>
      <c r="J112">
        <v>12999</v>
      </c>
      <c r="K112">
        <v>142989</v>
      </c>
      <c r="L112">
        <v>20</v>
      </c>
      <c r="M112">
        <v>114391.2</v>
      </c>
      <c r="N112">
        <v>6</v>
      </c>
      <c r="O112" t="s">
        <v>25</v>
      </c>
      <c r="P112" t="s">
        <v>34</v>
      </c>
      <c r="R112">
        <v>115400</v>
      </c>
    </row>
    <row r="113" spans="1:18" ht="15" customHeight="1" x14ac:dyDescent="0.3">
      <c r="A113" t="s">
        <v>289</v>
      </c>
      <c r="B113" t="s">
        <v>42</v>
      </c>
      <c r="C113">
        <v>4</v>
      </c>
      <c r="D113" t="s">
        <v>224</v>
      </c>
      <c r="E113" t="s">
        <v>38</v>
      </c>
      <c r="F113" t="s">
        <v>51</v>
      </c>
      <c r="G113" t="s">
        <v>157</v>
      </c>
      <c r="H113" t="s">
        <v>24</v>
      </c>
      <c r="I113">
        <v>13</v>
      </c>
      <c r="J113">
        <v>499</v>
      </c>
      <c r="K113">
        <v>6487</v>
      </c>
      <c r="L113">
        <v>20</v>
      </c>
      <c r="M113">
        <v>5189.6000000000004</v>
      </c>
      <c r="N113">
        <v>4</v>
      </c>
      <c r="O113" t="s">
        <v>25</v>
      </c>
      <c r="P113" t="s">
        <v>53</v>
      </c>
      <c r="R113">
        <v>5100</v>
      </c>
    </row>
    <row r="114" spans="1:18" ht="15" customHeight="1" x14ac:dyDescent="0.3">
      <c r="A114" t="s">
        <v>290</v>
      </c>
      <c r="B114" t="s">
        <v>48</v>
      </c>
      <c r="C114">
        <v>5</v>
      </c>
      <c r="D114" t="s">
        <v>129</v>
      </c>
      <c r="E114" t="s">
        <v>38</v>
      </c>
      <c r="F114" t="s">
        <v>72</v>
      </c>
      <c r="G114" t="s">
        <v>103</v>
      </c>
      <c r="H114" t="s">
        <v>33</v>
      </c>
      <c r="I114">
        <v>2</v>
      </c>
      <c r="J114">
        <v>1999</v>
      </c>
      <c r="K114">
        <v>3998</v>
      </c>
      <c r="L114">
        <v>15</v>
      </c>
      <c r="M114">
        <v>3398.3</v>
      </c>
      <c r="N114">
        <v>6</v>
      </c>
      <c r="O114" t="s">
        <v>25</v>
      </c>
      <c r="P114" t="s">
        <v>122</v>
      </c>
      <c r="R114">
        <v>3900</v>
      </c>
    </row>
    <row r="115" spans="1:18" ht="15" customHeight="1" x14ac:dyDescent="0.3">
      <c r="A115" t="s">
        <v>291</v>
      </c>
      <c r="B115" t="s">
        <v>55</v>
      </c>
      <c r="C115">
        <v>6</v>
      </c>
      <c r="D115" t="s">
        <v>56</v>
      </c>
      <c r="E115" t="s">
        <v>118</v>
      </c>
      <c r="F115" t="s">
        <v>72</v>
      </c>
      <c r="G115" t="s">
        <v>270</v>
      </c>
      <c r="H115" t="s">
        <v>24</v>
      </c>
      <c r="I115">
        <v>2</v>
      </c>
      <c r="J115">
        <v>2999</v>
      </c>
      <c r="K115">
        <v>5998</v>
      </c>
      <c r="L115">
        <v>0</v>
      </c>
      <c r="M115">
        <v>5998</v>
      </c>
      <c r="N115">
        <v>6</v>
      </c>
      <c r="O115" t="s">
        <v>59</v>
      </c>
      <c r="P115" t="s">
        <v>34</v>
      </c>
      <c r="Q115" t="s">
        <v>218</v>
      </c>
      <c r="R115">
        <v>6200</v>
      </c>
    </row>
    <row r="116" spans="1:18" ht="15" customHeight="1" x14ac:dyDescent="0.3">
      <c r="A116" t="s">
        <v>292</v>
      </c>
      <c r="B116" t="s">
        <v>63</v>
      </c>
      <c r="C116">
        <v>7</v>
      </c>
      <c r="D116" t="s">
        <v>293</v>
      </c>
      <c r="E116" t="s">
        <v>118</v>
      </c>
      <c r="F116" t="s">
        <v>51</v>
      </c>
      <c r="G116" t="s">
        <v>52</v>
      </c>
      <c r="H116" t="s">
        <v>40</v>
      </c>
      <c r="I116">
        <v>6</v>
      </c>
      <c r="J116">
        <v>24999</v>
      </c>
      <c r="K116">
        <v>149994</v>
      </c>
      <c r="L116">
        <v>15</v>
      </c>
      <c r="M116">
        <v>127494.9</v>
      </c>
      <c r="N116">
        <v>1</v>
      </c>
      <c r="O116" t="s">
        <v>46</v>
      </c>
      <c r="P116" t="s">
        <v>34</v>
      </c>
      <c r="R116">
        <v>120300</v>
      </c>
    </row>
    <row r="117" spans="1:18" ht="15" customHeight="1" x14ac:dyDescent="0.3">
      <c r="A117" t="s">
        <v>294</v>
      </c>
      <c r="B117" t="s">
        <v>67</v>
      </c>
      <c r="C117">
        <v>8</v>
      </c>
      <c r="D117" t="s">
        <v>232</v>
      </c>
      <c r="E117" t="s">
        <v>50</v>
      </c>
      <c r="F117" t="s">
        <v>51</v>
      </c>
      <c r="G117" t="s">
        <v>157</v>
      </c>
      <c r="H117" t="s">
        <v>24</v>
      </c>
      <c r="I117">
        <v>11</v>
      </c>
      <c r="J117">
        <v>4999</v>
      </c>
      <c r="K117">
        <v>54989</v>
      </c>
      <c r="L117">
        <v>5</v>
      </c>
      <c r="M117">
        <v>52239.55</v>
      </c>
      <c r="N117">
        <v>2</v>
      </c>
      <c r="O117" t="s">
        <v>25</v>
      </c>
      <c r="P117" t="s">
        <v>34</v>
      </c>
      <c r="R117">
        <v>50200</v>
      </c>
    </row>
    <row r="118" spans="1:18" ht="15" customHeight="1" x14ac:dyDescent="0.3">
      <c r="A118" t="s">
        <v>295</v>
      </c>
      <c r="B118" t="s">
        <v>70</v>
      </c>
      <c r="C118">
        <v>9</v>
      </c>
      <c r="D118" t="s">
        <v>296</v>
      </c>
      <c r="E118" t="s">
        <v>50</v>
      </c>
      <c r="F118" t="s">
        <v>44</v>
      </c>
      <c r="G118" t="s">
        <v>45</v>
      </c>
      <c r="H118" t="s">
        <v>40</v>
      </c>
      <c r="I118">
        <v>14</v>
      </c>
      <c r="J118">
        <v>7999</v>
      </c>
      <c r="K118">
        <v>111986</v>
      </c>
      <c r="L118">
        <v>20</v>
      </c>
      <c r="M118">
        <v>89588.800000000003</v>
      </c>
      <c r="N118">
        <v>10</v>
      </c>
      <c r="O118" t="s">
        <v>25</v>
      </c>
      <c r="P118" t="s">
        <v>34</v>
      </c>
      <c r="R118">
        <v>76900</v>
      </c>
    </row>
    <row r="119" spans="1:18" ht="15" customHeight="1" x14ac:dyDescent="0.3">
      <c r="A119" t="s">
        <v>297</v>
      </c>
      <c r="B119" t="s">
        <v>75</v>
      </c>
      <c r="C119">
        <v>10</v>
      </c>
      <c r="D119" t="s">
        <v>76</v>
      </c>
      <c r="E119" t="s">
        <v>94</v>
      </c>
      <c r="F119" t="s">
        <v>44</v>
      </c>
      <c r="G119" t="s">
        <v>85</v>
      </c>
      <c r="H119" t="s">
        <v>40</v>
      </c>
      <c r="I119">
        <v>12</v>
      </c>
      <c r="J119">
        <v>1499</v>
      </c>
      <c r="K119">
        <v>17988</v>
      </c>
      <c r="L119">
        <v>10</v>
      </c>
      <c r="M119">
        <v>16189.2</v>
      </c>
      <c r="N119">
        <v>6</v>
      </c>
      <c r="O119" t="s">
        <v>25</v>
      </c>
      <c r="P119" t="s">
        <v>53</v>
      </c>
      <c r="R119">
        <v>16500</v>
      </c>
    </row>
    <row r="120" spans="1:18" ht="15" customHeight="1" x14ac:dyDescent="0.3">
      <c r="A120" t="s">
        <v>298</v>
      </c>
      <c r="B120" t="s">
        <v>79</v>
      </c>
      <c r="C120">
        <v>11</v>
      </c>
      <c r="D120" t="s">
        <v>299</v>
      </c>
      <c r="E120" t="s">
        <v>30</v>
      </c>
      <c r="F120" t="s">
        <v>22</v>
      </c>
      <c r="G120" t="s">
        <v>39</v>
      </c>
      <c r="H120" t="s">
        <v>24</v>
      </c>
      <c r="I120">
        <v>12</v>
      </c>
      <c r="J120">
        <v>7999</v>
      </c>
      <c r="K120">
        <v>95988</v>
      </c>
      <c r="L120">
        <v>5</v>
      </c>
      <c r="M120">
        <v>91188.6</v>
      </c>
      <c r="N120">
        <v>7</v>
      </c>
      <c r="O120" t="s">
        <v>25</v>
      </c>
      <c r="P120" t="s">
        <v>122</v>
      </c>
      <c r="R120">
        <v>81800</v>
      </c>
    </row>
    <row r="121" spans="1:18" ht="15" customHeight="1" x14ac:dyDescent="0.3">
      <c r="A121" t="s">
        <v>300</v>
      </c>
      <c r="B121" t="s">
        <v>83</v>
      </c>
      <c r="C121">
        <v>12</v>
      </c>
      <c r="D121" t="s">
        <v>301</v>
      </c>
      <c r="E121" t="s">
        <v>118</v>
      </c>
      <c r="F121" t="s">
        <v>44</v>
      </c>
      <c r="G121" t="s">
        <v>45</v>
      </c>
      <c r="H121" t="s">
        <v>24</v>
      </c>
      <c r="I121">
        <v>3</v>
      </c>
      <c r="J121">
        <v>799</v>
      </c>
      <c r="K121">
        <v>2397</v>
      </c>
      <c r="L121">
        <v>20</v>
      </c>
      <c r="M121">
        <v>1917.6</v>
      </c>
      <c r="N121">
        <v>1</v>
      </c>
      <c r="O121" t="s">
        <v>25</v>
      </c>
      <c r="P121" t="s">
        <v>122</v>
      </c>
      <c r="R121">
        <v>1900</v>
      </c>
    </row>
    <row r="122" spans="1:18" ht="15" customHeight="1" x14ac:dyDescent="0.3">
      <c r="A122" t="s">
        <v>302</v>
      </c>
      <c r="B122" t="s">
        <v>19</v>
      </c>
      <c r="C122">
        <v>1</v>
      </c>
      <c r="D122" t="s">
        <v>303</v>
      </c>
      <c r="E122" t="s">
        <v>65</v>
      </c>
      <c r="F122" t="s">
        <v>72</v>
      </c>
      <c r="G122" t="s">
        <v>81</v>
      </c>
      <c r="H122" t="s">
        <v>40</v>
      </c>
      <c r="I122">
        <v>5</v>
      </c>
      <c r="J122">
        <v>999</v>
      </c>
      <c r="K122">
        <v>4995</v>
      </c>
      <c r="L122">
        <v>20</v>
      </c>
      <c r="M122">
        <v>3996</v>
      </c>
      <c r="N122">
        <v>2</v>
      </c>
      <c r="O122" t="s">
        <v>25</v>
      </c>
      <c r="P122" t="s">
        <v>60</v>
      </c>
      <c r="R122">
        <v>3700</v>
      </c>
    </row>
    <row r="123" spans="1:18" ht="15" customHeight="1" x14ac:dyDescent="0.3">
      <c r="A123" t="s">
        <v>304</v>
      </c>
      <c r="B123" t="s">
        <v>28</v>
      </c>
      <c r="C123">
        <v>2</v>
      </c>
      <c r="D123" t="s">
        <v>90</v>
      </c>
      <c r="E123" t="s">
        <v>21</v>
      </c>
      <c r="F123" t="s">
        <v>51</v>
      </c>
      <c r="G123" t="s">
        <v>275</v>
      </c>
      <c r="H123" t="s">
        <v>24</v>
      </c>
      <c r="I123">
        <v>4</v>
      </c>
      <c r="J123">
        <v>2999</v>
      </c>
      <c r="K123">
        <v>11996</v>
      </c>
      <c r="L123">
        <v>20</v>
      </c>
      <c r="M123">
        <v>9596.7999999999993</v>
      </c>
      <c r="N123">
        <v>1</v>
      </c>
      <c r="O123" t="s">
        <v>25</v>
      </c>
      <c r="P123" t="s">
        <v>122</v>
      </c>
      <c r="R123">
        <v>10900</v>
      </c>
    </row>
    <row r="124" spans="1:18" ht="15" customHeight="1" x14ac:dyDescent="0.3">
      <c r="A124" t="s">
        <v>305</v>
      </c>
      <c r="B124" t="s">
        <v>36</v>
      </c>
      <c r="C124">
        <v>3</v>
      </c>
      <c r="D124" t="s">
        <v>306</v>
      </c>
      <c r="E124" t="s">
        <v>21</v>
      </c>
      <c r="F124" t="s">
        <v>31</v>
      </c>
      <c r="G124" t="s">
        <v>134</v>
      </c>
      <c r="H124" t="s">
        <v>40</v>
      </c>
      <c r="I124">
        <v>2</v>
      </c>
      <c r="J124">
        <v>299</v>
      </c>
      <c r="K124">
        <v>598</v>
      </c>
      <c r="L124">
        <v>15</v>
      </c>
      <c r="M124">
        <v>508.3</v>
      </c>
      <c r="N124">
        <v>7</v>
      </c>
      <c r="O124" t="s">
        <v>25</v>
      </c>
      <c r="P124" t="s">
        <v>26</v>
      </c>
      <c r="R124">
        <v>500</v>
      </c>
    </row>
    <row r="125" spans="1:18" ht="15" customHeight="1" x14ac:dyDescent="0.3">
      <c r="A125" t="s">
        <v>307</v>
      </c>
      <c r="B125" t="s">
        <v>42</v>
      </c>
      <c r="C125">
        <v>4</v>
      </c>
      <c r="D125" t="s">
        <v>203</v>
      </c>
      <c r="E125" t="s">
        <v>57</v>
      </c>
      <c r="F125" t="s">
        <v>51</v>
      </c>
      <c r="G125" t="s">
        <v>157</v>
      </c>
      <c r="H125" t="s">
        <v>24</v>
      </c>
      <c r="I125">
        <v>7</v>
      </c>
      <c r="J125">
        <v>299</v>
      </c>
      <c r="K125">
        <v>2093</v>
      </c>
      <c r="L125">
        <v>15</v>
      </c>
      <c r="M125">
        <v>1779.05</v>
      </c>
      <c r="N125">
        <v>1</v>
      </c>
      <c r="O125" t="s">
        <v>25</v>
      </c>
      <c r="P125" t="s">
        <v>60</v>
      </c>
      <c r="R125">
        <v>2000</v>
      </c>
    </row>
    <row r="126" spans="1:18" ht="15" customHeight="1" x14ac:dyDescent="0.3">
      <c r="A126" t="s">
        <v>308</v>
      </c>
      <c r="B126" t="s">
        <v>48</v>
      </c>
      <c r="C126">
        <v>5</v>
      </c>
      <c r="D126" t="s">
        <v>309</v>
      </c>
      <c r="E126" t="s">
        <v>38</v>
      </c>
      <c r="F126" t="s">
        <v>72</v>
      </c>
      <c r="G126" t="s">
        <v>81</v>
      </c>
      <c r="H126" t="s">
        <v>33</v>
      </c>
      <c r="I126">
        <v>11</v>
      </c>
      <c r="J126">
        <v>2999</v>
      </c>
      <c r="K126">
        <v>32989</v>
      </c>
      <c r="L126">
        <v>10</v>
      </c>
      <c r="M126">
        <v>29690.1</v>
      </c>
      <c r="N126">
        <v>2</v>
      </c>
      <c r="O126" t="s">
        <v>25</v>
      </c>
      <c r="P126" t="s">
        <v>122</v>
      </c>
      <c r="R126">
        <v>26800</v>
      </c>
    </row>
    <row r="127" spans="1:18" ht="15" customHeight="1" x14ac:dyDescent="0.3">
      <c r="A127" t="s">
        <v>310</v>
      </c>
      <c r="B127" t="s">
        <v>55</v>
      </c>
      <c r="C127">
        <v>6</v>
      </c>
      <c r="D127" t="s">
        <v>311</v>
      </c>
      <c r="E127" t="s">
        <v>118</v>
      </c>
      <c r="F127" t="s">
        <v>72</v>
      </c>
      <c r="G127" t="s">
        <v>112</v>
      </c>
      <c r="H127" t="s">
        <v>40</v>
      </c>
      <c r="I127">
        <v>14</v>
      </c>
      <c r="J127">
        <v>499</v>
      </c>
      <c r="K127">
        <v>6986</v>
      </c>
      <c r="L127">
        <v>5</v>
      </c>
      <c r="M127">
        <v>6636.7</v>
      </c>
      <c r="N127">
        <v>7</v>
      </c>
      <c r="O127" t="s">
        <v>25</v>
      </c>
      <c r="P127" t="s">
        <v>34</v>
      </c>
      <c r="R127">
        <v>5800</v>
      </c>
    </row>
    <row r="128" spans="1:18" ht="15" customHeight="1" x14ac:dyDescent="0.3">
      <c r="A128" t="s">
        <v>312</v>
      </c>
      <c r="B128" t="s">
        <v>63</v>
      </c>
      <c r="C128">
        <v>7</v>
      </c>
      <c r="D128" t="s">
        <v>133</v>
      </c>
      <c r="E128" t="s">
        <v>50</v>
      </c>
      <c r="F128" t="s">
        <v>44</v>
      </c>
      <c r="G128" t="s">
        <v>171</v>
      </c>
      <c r="H128" t="s">
        <v>40</v>
      </c>
      <c r="I128">
        <v>13</v>
      </c>
      <c r="J128">
        <v>799</v>
      </c>
      <c r="K128">
        <v>10387</v>
      </c>
      <c r="L128">
        <v>0</v>
      </c>
      <c r="M128">
        <v>10387</v>
      </c>
      <c r="N128">
        <v>9</v>
      </c>
      <c r="O128" t="s">
        <v>25</v>
      </c>
      <c r="P128" t="s">
        <v>34</v>
      </c>
      <c r="R128">
        <v>10400</v>
      </c>
    </row>
    <row r="129" spans="1:18" ht="15" customHeight="1" x14ac:dyDescent="0.3">
      <c r="A129" t="s">
        <v>313</v>
      </c>
      <c r="B129" t="s">
        <v>67</v>
      </c>
      <c r="C129">
        <v>8</v>
      </c>
      <c r="D129" t="s">
        <v>68</v>
      </c>
      <c r="E129" t="s">
        <v>94</v>
      </c>
      <c r="F129" t="s">
        <v>44</v>
      </c>
      <c r="G129" t="s">
        <v>171</v>
      </c>
      <c r="H129" t="s">
        <v>24</v>
      </c>
      <c r="I129">
        <v>2</v>
      </c>
      <c r="J129">
        <v>799</v>
      </c>
      <c r="K129">
        <v>1598</v>
      </c>
      <c r="L129">
        <v>10</v>
      </c>
      <c r="M129">
        <v>1438.2</v>
      </c>
      <c r="N129">
        <v>4</v>
      </c>
      <c r="O129" t="s">
        <v>25</v>
      </c>
      <c r="P129" t="s">
        <v>53</v>
      </c>
      <c r="R129">
        <v>1600</v>
      </c>
    </row>
    <row r="130" spans="1:18" ht="15" customHeight="1" x14ac:dyDescent="0.3">
      <c r="A130" t="s">
        <v>314</v>
      </c>
      <c r="B130" t="s">
        <v>70</v>
      </c>
      <c r="C130">
        <v>9</v>
      </c>
      <c r="D130" t="s">
        <v>315</v>
      </c>
      <c r="E130" t="s">
        <v>65</v>
      </c>
      <c r="F130" t="s">
        <v>22</v>
      </c>
      <c r="G130" t="s">
        <v>39</v>
      </c>
      <c r="H130" t="s">
        <v>40</v>
      </c>
      <c r="I130">
        <v>13</v>
      </c>
      <c r="J130">
        <v>12999</v>
      </c>
      <c r="K130">
        <v>168987</v>
      </c>
      <c r="L130">
        <v>20</v>
      </c>
      <c r="M130">
        <v>135189.6</v>
      </c>
      <c r="N130">
        <v>8</v>
      </c>
      <c r="O130" t="s">
        <v>25</v>
      </c>
      <c r="P130" t="s">
        <v>34</v>
      </c>
      <c r="R130">
        <v>141000</v>
      </c>
    </row>
    <row r="131" spans="1:18" ht="15" customHeight="1" x14ac:dyDescent="0.3">
      <c r="A131" t="s">
        <v>316</v>
      </c>
      <c r="B131" t="s">
        <v>75</v>
      </c>
      <c r="C131">
        <v>10</v>
      </c>
      <c r="D131" t="s">
        <v>317</v>
      </c>
      <c r="E131" t="s">
        <v>94</v>
      </c>
      <c r="F131" t="s">
        <v>44</v>
      </c>
      <c r="G131" t="s">
        <v>171</v>
      </c>
      <c r="H131" t="s">
        <v>40</v>
      </c>
      <c r="I131">
        <v>2</v>
      </c>
      <c r="J131">
        <v>4999</v>
      </c>
      <c r="K131">
        <v>9998</v>
      </c>
      <c r="L131">
        <v>15</v>
      </c>
      <c r="M131">
        <v>8498.2999999999993</v>
      </c>
      <c r="N131">
        <v>5</v>
      </c>
      <c r="O131" t="s">
        <v>59</v>
      </c>
      <c r="P131" t="s">
        <v>34</v>
      </c>
      <c r="Q131" t="s">
        <v>218</v>
      </c>
      <c r="R131">
        <v>8100</v>
      </c>
    </row>
    <row r="132" spans="1:18" ht="15" customHeight="1" x14ac:dyDescent="0.3">
      <c r="A132" t="s">
        <v>318</v>
      </c>
      <c r="B132" t="s">
        <v>79</v>
      </c>
      <c r="C132">
        <v>11</v>
      </c>
      <c r="D132" t="s">
        <v>319</v>
      </c>
      <c r="E132" t="s">
        <v>65</v>
      </c>
      <c r="F132" t="s">
        <v>44</v>
      </c>
      <c r="G132" t="s">
        <v>58</v>
      </c>
      <c r="H132" t="s">
        <v>24</v>
      </c>
      <c r="I132">
        <v>1</v>
      </c>
      <c r="J132">
        <v>1999</v>
      </c>
      <c r="K132">
        <v>1999</v>
      </c>
      <c r="L132">
        <v>10</v>
      </c>
      <c r="M132">
        <v>1799.1</v>
      </c>
      <c r="N132">
        <v>2</v>
      </c>
      <c r="O132" t="s">
        <v>25</v>
      </c>
      <c r="P132" t="s">
        <v>60</v>
      </c>
      <c r="R132">
        <v>1900</v>
      </c>
    </row>
    <row r="133" spans="1:18" ht="15" customHeight="1" x14ac:dyDescent="0.3">
      <c r="A133" t="s">
        <v>320</v>
      </c>
      <c r="B133" t="s">
        <v>83</v>
      </c>
      <c r="C133">
        <v>12</v>
      </c>
      <c r="D133" t="s">
        <v>321</v>
      </c>
      <c r="E133" t="s">
        <v>30</v>
      </c>
      <c r="F133" t="s">
        <v>72</v>
      </c>
      <c r="G133" t="s">
        <v>103</v>
      </c>
      <c r="H133" t="s">
        <v>40</v>
      </c>
      <c r="I133">
        <v>15</v>
      </c>
      <c r="J133">
        <v>12999</v>
      </c>
      <c r="K133">
        <v>194985</v>
      </c>
      <c r="L133">
        <v>5</v>
      </c>
      <c r="M133">
        <v>185235.75</v>
      </c>
      <c r="N133">
        <v>6</v>
      </c>
      <c r="O133" t="s">
        <v>25</v>
      </c>
      <c r="P133" t="s">
        <v>34</v>
      </c>
      <c r="R133">
        <v>165800</v>
      </c>
    </row>
    <row r="134" spans="1:18" ht="15" customHeight="1" x14ac:dyDescent="0.3">
      <c r="A134" t="s">
        <v>322</v>
      </c>
      <c r="B134" t="s">
        <v>19</v>
      </c>
      <c r="C134">
        <v>1</v>
      </c>
      <c r="D134" t="s">
        <v>323</v>
      </c>
      <c r="E134" t="s">
        <v>57</v>
      </c>
      <c r="F134" t="s">
        <v>72</v>
      </c>
      <c r="G134" t="s">
        <v>270</v>
      </c>
      <c r="H134" t="s">
        <v>33</v>
      </c>
      <c r="I134">
        <v>2</v>
      </c>
      <c r="J134">
        <v>7999</v>
      </c>
      <c r="K134">
        <v>15998</v>
      </c>
      <c r="L134">
        <v>5</v>
      </c>
      <c r="M134">
        <v>15198.1</v>
      </c>
      <c r="N134">
        <v>1</v>
      </c>
      <c r="O134" t="s">
        <v>25</v>
      </c>
      <c r="P134" t="s">
        <v>26</v>
      </c>
      <c r="R134">
        <v>17400</v>
      </c>
    </row>
    <row r="135" spans="1:18" ht="15" customHeight="1" x14ac:dyDescent="0.3">
      <c r="A135" t="s">
        <v>324</v>
      </c>
      <c r="B135" t="s">
        <v>28</v>
      </c>
      <c r="C135">
        <v>2</v>
      </c>
      <c r="D135" t="s">
        <v>325</v>
      </c>
      <c r="E135" t="s">
        <v>94</v>
      </c>
      <c r="F135" t="s">
        <v>51</v>
      </c>
      <c r="G135" t="s">
        <v>157</v>
      </c>
      <c r="H135" t="s">
        <v>40</v>
      </c>
      <c r="I135">
        <v>6</v>
      </c>
      <c r="J135">
        <v>1499</v>
      </c>
      <c r="K135">
        <v>8994</v>
      </c>
      <c r="L135">
        <v>15</v>
      </c>
      <c r="M135">
        <v>7644.9</v>
      </c>
      <c r="N135">
        <v>7</v>
      </c>
      <c r="O135" t="s">
        <v>59</v>
      </c>
      <c r="P135" t="s">
        <v>34</v>
      </c>
      <c r="Q135" t="s">
        <v>218</v>
      </c>
      <c r="R135">
        <v>8300</v>
      </c>
    </row>
    <row r="136" spans="1:18" ht="15" customHeight="1" x14ac:dyDescent="0.3">
      <c r="A136" t="s">
        <v>326</v>
      </c>
      <c r="B136" t="s">
        <v>36</v>
      </c>
      <c r="C136">
        <v>3</v>
      </c>
      <c r="D136" t="s">
        <v>327</v>
      </c>
      <c r="E136" t="s">
        <v>57</v>
      </c>
      <c r="F136" t="s">
        <v>44</v>
      </c>
      <c r="G136" t="s">
        <v>85</v>
      </c>
      <c r="H136" t="s">
        <v>24</v>
      </c>
      <c r="I136">
        <v>9</v>
      </c>
      <c r="J136">
        <v>24999</v>
      </c>
      <c r="K136">
        <v>224991</v>
      </c>
      <c r="L136">
        <v>15</v>
      </c>
      <c r="M136">
        <v>191242.35</v>
      </c>
      <c r="N136">
        <v>5</v>
      </c>
      <c r="O136" t="s">
        <v>25</v>
      </c>
      <c r="P136" t="s">
        <v>34</v>
      </c>
      <c r="R136">
        <v>212700</v>
      </c>
    </row>
    <row r="137" spans="1:18" ht="15" customHeight="1" x14ac:dyDescent="0.3">
      <c r="A137" t="s">
        <v>328</v>
      </c>
      <c r="B137" t="s">
        <v>42</v>
      </c>
      <c r="C137">
        <v>4</v>
      </c>
      <c r="D137" t="s">
        <v>329</v>
      </c>
      <c r="E137" t="s">
        <v>94</v>
      </c>
      <c r="F137" t="s">
        <v>22</v>
      </c>
      <c r="G137" t="s">
        <v>121</v>
      </c>
      <c r="H137" t="s">
        <v>40</v>
      </c>
      <c r="I137">
        <v>5</v>
      </c>
      <c r="J137">
        <v>24999</v>
      </c>
      <c r="K137">
        <v>124995</v>
      </c>
      <c r="L137">
        <v>15</v>
      </c>
      <c r="M137">
        <v>106245.75</v>
      </c>
      <c r="N137">
        <v>3</v>
      </c>
      <c r="O137" t="s">
        <v>25</v>
      </c>
      <c r="P137" t="s">
        <v>60</v>
      </c>
      <c r="R137">
        <v>100200</v>
      </c>
    </row>
    <row r="138" spans="1:18" ht="15" customHeight="1" x14ac:dyDescent="0.3">
      <c r="A138" t="s">
        <v>330</v>
      </c>
      <c r="B138" t="s">
        <v>48</v>
      </c>
      <c r="C138">
        <v>5</v>
      </c>
      <c r="D138" t="s">
        <v>331</v>
      </c>
      <c r="E138" t="s">
        <v>118</v>
      </c>
      <c r="F138" t="s">
        <v>44</v>
      </c>
      <c r="G138" t="s">
        <v>125</v>
      </c>
      <c r="H138" t="s">
        <v>33</v>
      </c>
      <c r="I138">
        <v>11</v>
      </c>
      <c r="J138">
        <v>2999</v>
      </c>
      <c r="K138">
        <v>32989</v>
      </c>
      <c r="L138">
        <v>20</v>
      </c>
      <c r="M138">
        <v>26391.200000000001</v>
      </c>
      <c r="N138">
        <v>6</v>
      </c>
      <c r="O138" t="s">
        <v>25</v>
      </c>
      <c r="P138" t="s">
        <v>122</v>
      </c>
      <c r="R138">
        <v>23900</v>
      </c>
    </row>
    <row r="139" spans="1:18" ht="15" customHeight="1" x14ac:dyDescent="0.3">
      <c r="A139" t="s">
        <v>332</v>
      </c>
      <c r="B139" t="s">
        <v>55</v>
      </c>
      <c r="C139">
        <v>6</v>
      </c>
      <c r="D139" t="s">
        <v>56</v>
      </c>
      <c r="E139" t="s">
        <v>50</v>
      </c>
      <c r="F139" t="s">
        <v>44</v>
      </c>
      <c r="G139" t="s">
        <v>58</v>
      </c>
      <c r="H139" t="s">
        <v>24</v>
      </c>
      <c r="I139">
        <v>3</v>
      </c>
      <c r="J139">
        <v>799</v>
      </c>
      <c r="K139">
        <v>2397</v>
      </c>
      <c r="L139">
        <v>0</v>
      </c>
      <c r="M139">
        <v>2397</v>
      </c>
      <c r="N139">
        <v>5</v>
      </c>
      <c r="O139" t="s">
        <v>88</v>
      </c>
      <c r="P139" t="s">
        <v>60</v>
      </c>
      <c r="R139">
        <v>2400</v>
      </c>
    </row>
    <row r="140" spans="1:18" ht="15" customHeight="1" x14ac:dyDescent="0.3">
      <c r="A140" t="s">
        <v>333</v>
      </c>
      <c r="B140" t="s">
        <v>63</v>
      </c>
      <c r="C140">
        <v>7</v>
      </c>
      <c r="D140" t="s">
        <v>253</v>
      </c>
      <c r="E140" t="s">
        <v>57</v>
      </c>
      <c r="F140" t="s">
        <v>51</v>
      </c>
      <c r="G140" t="s">
        <v>115</v>
      </c>
      <c r="H140" t="s">
        <v>33</v>
      </c>
      <c r="I140">
        <v>3</v>
      </c>
      <c r="J140">
        <v>12999</v>
      </c>
      <c r="K140">
        <v>38997</v>
      </c>
      <c r="L140">
        <v>15</v>
      </c>
      <c r="M140">
        <v>33147.449999999997</v>
      </c>
      <c r="N140">
        <v>3</v>
      </c>
      <c r="O140" t="s">
        <v>25</v>
      </c>
      <c r="P140" t="s">
        <v>34</v>
      </c>
      <c r="R140">
        <v>36200</v>
      </c>
    </row>
    <row r="141" spans="1:18" ht="15" customHeight="1" x14ac:dyDescent="0.3">
      <c r="A141" t="s">
        <v>334</v>
      </c>
      <c r="B141" t="s">
        <v>67</v>
      </c>
      <c r="C141">
        <v>8</v>
      </c>
      <c r="D141" t="s">
        <v>335</v>
      </c>
      <c r="E141" t="s">
        <v>38</v>
      </c>
      <c r="F141" t="s">
        <v>72</v>
      </c>
      <c r="G141" t="s">
        <v>270</v>
      </c>
      <c r="H141" t="s">
        <v>40</v>
      </c>
      <c r="I141">
        <v>11</v>
      </c>
      <c r="J141">
        <v>999</v>
      </c>
      <c r="K141">
        <v>10989</v>
      </c>
      <c r="L141">
        <v>15</v>
      </c>
      <c r="M141">
        <v>9340.65</v>
      </c>
      <c r="N141">
        <v>10</v>
      </c>
      <c r="O141" t="s">
        <v>25</v>
      </c>
      <c r="P141" t="s">
        <v>26</v>
      </c>
      <c r="R141">
        <v>8600</v>
      </c>
    </row>
    <row r="142" spans="1:18" ht="15" customHeight="1" x14ac:dyDescent="0.3">
      <c r="A142" t="s">
        <v>336</v>
      </c>
      <c r="B142" t="s">
        <v>70</v>
      </c>
      <c r="C142">
        <v>9</v>
      </c>
      <c r="D142" t="s">
        <v>337</v>
      </c>
      <c r="E142" t="s">
        <v>50</v>
      </c>
      <c r="F142" t="s">
        <v>44</v>
      </c>
      <c r="G142" t="s">
        <v>58</v>
      </c>
      <c r="H142" t="s">
        <v>40</v>
      </c>
      <c r="I142">
        <v>11</v>
      </c>
      <c r="J142">
        <v>12999</v>
      </c>
      <c r="K142">
        <v>142989</v>
      </c>
      <c r="L142">
        <v>15</v>
      </c>
      <c r="M142">
        <v>121540.65</v>
      </c>
      <c r="N142">
        <v>8</v>
      </c>
      <c r="O142" t="s">
        <v>59</v>
      </c>
      <c r="P142" t="s">
        <v>26</v>
      </c>
      <c r="Q142" t="s">
        <v>61</v>
      </c>
      <c r="R142">
        <v>122500</v>
      </c>
    </row>
    <row r="143" spans="1:18" ht="15" customHeight="1" x14ac:dyDescent="0.3">
      <c r="A143" t="s">
        <v>338</v>
      </c>
      <c r="B143" t="s">
        <v>75</v>
      </c>
      <c r="C143">
        <v>10</v>
      </c>
      <c r="D143" t="s">
        <v>339</v>
      </c>
      <c r="E143" t="s">
        <v>94</v>
      </c>
      <c r="F143" t="s">
        <v>31</v>
      </c>
      <c r="G143" t="s">
        <v>77</v>
      </c>
      <c r="H143" t="s">
        <v>40</v>
      </c>
      <c r="I143">
        <v>1</v>
      </c>
      <c r="J143">
        <v>24999</v>
      </c>
      <c r="K143">
        <v>24999</v>
      </c>
      <c r="L143">
        <v>15</v>
      </c>
      <c r="M143">
        <v>21249.15</v>
      </c>
      <c r="N143">
        <v>6</v>
      </c>
      <c r="O143" t="s">
        <v>25</v>
      </c>
      <c r="P143" t="s">
        <v>60</v>
      </c>
      <c r="R143">
        <v>22600</v>
      </c>
    </row>
    <row r="144" spans="1:18" ht="15" customHeight="1" x14ac:dyDescent="0.3">
      <c r="A144" t="s">
        <v>340</v>
      </c>
      <c r="B144" t="s">
        <v>79</v>
      </c>
      <c r="C144">
        <v>11</v>
      </c>
      <c r="D144" t="s">
        <v>341</v>
      </c>
      <c r="E144" t="s">
        <v>118</v>
      </c>
      <c r="F144" t="s">
        <v>22</v>
      </c>
      <c r="G144" t="s">
        <v>91</v>
      </c>
      <c r="H144" t="s">
        <v>24</v>
      </c>
      <c r="I144">
        <v>5</v>
      </c>
      <c r="J144">
        <v>4999</v>
      </c>
      <c r="K144">
        <v>24995</v>
      </c>
      <c r="L144">
        <v>20</v>
      </c>
      <c r="M144">
        <v>19996</v>
      </c>
      <c r="N144">
        <v>3</v>
      </c>
      <c r="O144" t="s">
        <v>88</v>
      </c>
      <c r="P144" t="s">
        <v>60</v>
      </c>
      <c r="R144">
        <v>22700</v>
      </c>
    </row>
    <row r="145" spans="1:18" ht="15" customHeight="1" x14ac:dyDescent="0.3">
      <c r="A145" t="s">
        <v>342</v>
      </c>
      <c r="B145" t="s">
        <v>83</v>
      </c>
      <c r="C145">
        <v>12</v>
      </c>
      <c r="D145" t="s">
        <v>216</v>
      </c>
      <c r="E145" t="s">
        <v>30</v>
      </c>
      <c r="F145" t="s">
        <v>72</v>
      </c>
      <c r="G145" t="s">
        <v>112</v>
      </c>
      <c r="H145" t="s">
        <v>40</v>
      </c>
      <c r="I145">
        <v>1</v>
      </c>
      <c r="J145">
        <v>2999</v>
      </c>
      <c r="K145">
        <v>2999</v>
      </c>
      <c r="L145">
        <v>20</v>
      </c>
      <c r="M145">
        <v>2399.1999999999998</v>
      </c>
      <c r="N145">
        <v>6</v>
      </c>
      <c r="O145" t="s">
        <v>25</v>
      </c>
      <c r="P145" t="s">
        <v>60</v>
      </c>
      <c r="R145">
        <v>2300</v>
      </c>
    </row>
    <row r="146" spans="1:18" ht="15" customHeight="1" x14ac:dyDescent="0.3">
      <c r="A146" t="s">
        <v>343</v>
      </c>
      <c r="B146" t="s">
        <v>19</v>
      </c>
      <c r="C146">
        <v>1</v>
      </c>
      <c r="D146" t="s">
        <v>344</v>
      </c>
      <c r="E146" t="s">
        <v>57</v>
      </c>
      <c r="F146" t="s">
        <v>44</v>
      </c>
      <c r="G146" t="s">
        <v>85</v>
      </c>
      <c r="H146" t="s">
        <v>24</v>
      </c>
      <c r="I146">
        <v>3</v>
      </c>
      <c r="J146">
        <v>299</v>
      </c>
      <c r="K146">
        <v>897</v>
      </c>
      <c r="L146">
        <v>10</v>
      </c>
      <c r="M146">
        <v>807.3</v>
      </c>
      <c r="N146">
        <v>8</v>
      </c>
      <c r="O146" t="s">
        <v>25</v>
      </c>
      <c r="P146" t="s">
        <v>53</v>
      </c>
      <c r="R146">
        <v>900</v>
      </c>
    </row>
    <row r="147" spans="1:18" ht="15" customHeight="1" x14ac:dyDescent="0.3">
      <c r="A147" t="s">
        <v>345</v>
      </c>
      <c r="B147" t="s">
        <v>28</v>
      </c>
      <c r="C147">
        <v>2</v>
      </c>
      <c r="D147" t="s">
        <v>346</v>
      </c>
      <c r="E147" t="s">
        <v>30</v>
      </c>
      <c r="F147" t="s">
        <v>72</v>
      </c>
      <c r="G147" t="s">
        <v>81</v>
      </c>
      <c r="H147" t="s">
        <v>24</v>
      </c>
      <c r="I147">
        <v>1</v>
      </c>
      <c r="J147">
        <v>1499</v>
      </c>
      <c r="K147">
        <v>1499</v>
      </c>
      <c r="L147">
        <v>5</v>
      </c>
      <c r="M147">
        <v>1424.05</v>
      </c>
      <c r="N147">
        <v>3</v>
      </c>
      <c r="O147" t="s">
        <v>25</v>
      </c>
      <c r="P147" t="s">
        <v>34</v>
      </c>
      <c r="R147">
        <v>1400</v>
      </c>
    </row>
    <row r="148" spans="1:18" ht="15" customHeight="1" x14ac:dyDescent="0.3">
      <c r="A148" t="s">
        <v>347</v>
      </c>
      <c r="B148" t="s">
        <v>36</v>
      </c>
      <c r="C148">
        <v>3</v>
      </c>
      <c r="D148" t="s">
        <v>348</v>
      </c>
      <c r="E148" t="s">
        <v>21</v>
      </c>
      <c r="F148" t="s">
        <v>44</v>
      </c>
      <c r="G148" t="s">
        <v>125</v>
      </c>
      <c r="H148" t="s">
        <v>24</v>
      </c>
      <c r="I148">
        <v>1</v>
      </c>
      <c r="J148">
        <v>999</v>
      </c>
      <c r="K148">
        <v>999</v>
      </c>
      <c r="L148">
        <v>15</v>
      </c>
      <c r="M148">
        <v>849.15</v>
      </c>
      <c r="N148">
        <v>10</v>
      </c>
      <c r="O148" t="s">
        <v>25</v>
      </c>
      <c r="P148" t="s">
        <v>60</v>
      </c>
      <c r="R148">
        <v>900</v>
      </c>
    </row>
    <row r="149" spans="1:18" ht="15" customHeight="1" x14ac:dyDescent="0.3">
      <c r="A149" t="s">
        <v>349</v>
      </c>
      <c r="B149" t="s">
        <v>42</v>
      </c>
      <c r="C149">
        <v>4</v>
      </c>
      <c r="D149" t="s">
        <v>97</v>
      </c>
      <c r="E149" t="s">
        <v>30</v>
      </c>
      <c r="F149" t="s">
        <v>51</v>
      </c>
      <c r="G149" t="s">
        <v>157</v>
      </c>
      <c r="H149" t="s">
        <v>33</v>
      </c>
      <c r="I149">
        <v>9</v>
      </c>
      <c r="J149">
        <v>12999</v>
      </c>
      <c r="K149">
        <v>116991</v>
      </c>
      <c r="L149">
        <v>5</v>
      </c>
      <c r="M149">
        <v>111141.45</v>
      </c>
      <c r="N149">
        <v>3</v>
      </c>
      <c r="O149" t="s">
        <v>25</v>
      </c>
      <c r="P149" t="s">
        <v>60</v>
      </c>
      <c r="R149">
        <v>115000</v>
      </c>
    </row>
    <row r="150" spans="1:18" ht="15" customHeight="1" x14ac:dyDescent="0.3">
      <c r="A150" t="s">
        <v>350</v>
      </c>
      <c r="B150" t="s">
        <v>48</v>
      </c>
      <c r="C150">
        <v>5</v>
      </c>
      <c r="D150" t="s">
        <v>351</v>
      </c>
      <c r="E150" t="s">
        <v>94</v>
      </c>
      <c r="F150" t="s">
        <v>51</v>
      </c>
      <c r="G150" t="s">
        <v>275</v>
      </c>
      <c r="H150" t="s">
        <v>33</v>
      </c>
      <c r="I150">
        <v>11</v>
      </c>
      <c r="J150">
        <v>499</v>
      </c>
      <c r="K150">
        <v>5489</v>
      </c>
      <c r="L150">
        <v>20</v>
      </c>
      <c r="M150">
        <v>4391.2</v>
      </c>
      <c r="N150">
        <v>6</v>
      </c>
      <c r="O150" t="s">
        <v>25</v>
      </c>
      <c r="P150" t="s">
        <v>34</v>
      </c>
      <c r="R150">
        <v>4400</v>
      </c>
    </row>
    <row r="151" spans="1:18" ht="15" customHeight="1" x14ac:dyDescent="0.3">
      <c r="A151" t="s">
        <v>352</v>
      </c>
      <c r="B151" t="s">
        <v>55</v>
      </c>
      <c r="C151">
        <v>6</v>
      </c>
      <c r="D151" t="s">
        <v>272</v>
      </c>
      <c r="E151" t="s">
        <v>30</v>
      </c>
      <c r="F151" t="s">
        <v>51</v>
      </c>
      <c r="G151" t="s">
        <v>157</v>
      </c>
      <c r="H151" t="s">
        <v>40</v>
      </c>
      <c r="I151">
        <v>14</v>
      </c>
      <c r="J151">
        <v>4999</v>
      </c>
      <c r="K151">
        <v>69986</v>
      </c>
      <c r="L151">
        <v>0</v>
      </c>
      <c r="M151">
        <v>69986</v>
      </c>
      <c r="N151">
        <v>7</v>
      </c>
      <c r="O151" t="s">
        <v>46</v>
      </c>
      <c r="P151" t="s">
        <v>122</v>
      </c>
      <c r="R151">
        <v>75200</v>
      </c>
    </row>
    <row r="152" spans="1:18" ht="15" customHeight="1" x14ac:dyDescent="0.3">
      <c r="A152" t="s">
        <v>353</v>
      </c>
      <c r="B152" t="s">
        <v>63</v>
      </c>
      <c r="C152">
        <v>7</v>
      </c>
      <c r="D152" t="s">
        <v>209</v>
      </c>
      <c r="E152" t="s">
        <v>50</v>
      </c>
      <c r="F152" t="s">
        <v>22</v>
      </c>
      <c r="G152" t="s">
        <v>91</v>
      </c>
      <c r="H152" t="s">
        <v>33</v>
      </c>
      <c r="I152">
        <v>11</v>
      </c>
      <c r="J152">
        <v>24999</v>
      </c>
      <c r="K152">
        <v>274989</v>
      </c>
      <c r="L152">
        <v>0</v>
      </c>
      <c r="M152">
        <v>274989</v>
      </c>
      <c r="N152">
        <v>10</v>
      </c>
      <c r="O152" t="s">
        <v>59</v>
      </c>
      <c r="P152" t="s">
        <v>122</v>
      </c>
      <c r="Q152" t="s">
        <v>195</v>
      </c>
      <c r="R152">
        <v>237400</v>
      </c>
    </row>
    <row r="153" spans="1:18" ht="15" customHeight="1" x14ac:dyDescent="0.3">
      <c r="A153" t="s">
        <v>354</v>
      </c>
      <c r="B153" t="s">
        <v>67</v>
      </c>
      <c r="C153">
        <v>8</v>
      </c>
      <c r="D153" t="s">
        <v>355</v>
      </c>
      <c r="E153" t="s">
        <v>65</v>
      </c>
      <c r="F153" t="s">
        <v>44</v>
      </c>
      <c r="G153" t="s">
        <v>125</v>
      </c>
      <c r="H153" t="s">
        <v>33</v>
      </c>
      <c r="I153">
        <v>8</v>
      </c>
      <c r="J153">
        <v>24999</v>
      </c>
      <c r="K153">
        <v>199992</v>
      </c>
      <c r="L153">
        <v>5</v>
      </c>
      <c r="M153">
        <v>189992.4</v>
      </c>
      <c r="N153">
        <v>3</v>
      </c>
      <c r="O153" t="s">
        <v>25</v>
      </c>
      <c r="P153" t="s">
        <v>26</v>
      </c>
      <c r="R153">
        <v>163600</v>
      </c>
    </row>
    <row r="154" spans="1:18" ht="15" customHeight="1" x14ac:dyDescent="0.3">
      <c r="A154" t="s">
        <v>356</v>
      </c>
      <c r="B154" t="s">
        <v>70</v>
      </c>
      <c r="C154">
        <v>9</v>
      </c>
      <c r="D154" t="s">
        <v>357</v>
      </c>
      <c r="E154" t="s">
        <v>30</v>
      </c>
      <c r="F154" t="s">
        <v>22</v>
      </c>
      <c r="G154" t="s">
        <v>39</v>
      </c>
      <c r="H154" t="s">
        <v>40</v>
      </c>
      <c r="I154">
        <v>15</v>
      </c>
      <c r="J154">
        <v>1499</v>
      </c>
      <c r="K154">
        <v>22485</v>
      </c>
      <c r="L154">
        <v>20</v>
      </c>
      <c r="M154">
        <v>17988</v>
      </c>
      <c r="N154">
        <v>7</v>
      </c>
      <c r="O154" t="s">
        <v>46</v>
      </c>
      <c r="P154" t="s">
        <v>34</v>
      </c>
      <c r="R154">
        <v>17800</v>
      </c>
    </row>
    <row r="155" spans="1:18" ht="15" customHeight="1" x14ac:dyDescent="0.3">
      <c r="A155" t="s">
        <v>358</v>
      </c>
      <c r="B155" t="s">
        <v>75</v>
      </c>
      <c r="C155">
        <v>10</v>
      </c>
      <c r="D155" t="s">
        <v>76</v>
      </c>
      <c r="E155" t="s">
        <v>57</v>
      </c>
      <c r="F155" t="s">
        <v>31</v>
      </c>
      <c r="G155" t="s">
        <v>134</v>
      </c>
      <c r="H155" t="s">
        <v>24</v>
      </c>
      <c r="I155">
        <v>14</v>
      </c>
      <c r="J155">
        <v>24999</v>
      </c>
      <c r="K155">
        <v>349986</v>
      </c>
      <c r="L155">
        <v>10</v>
      </c>
      <c r="M155">
        <v>314987.40000000002</v>
      </c>
      <c r="N155">
        <v>5</v>
      </c>
      <c r="O155" t="s">
        <v>25</v>
      </c>
      <c r="P155" t="s">
        <v>122</v>
      </c>
      <c r="R155">
        <v>309000</v>
      </c>
    </row>
    <row r="156" spans="1:18" ht="15" customHeight="1" x14ac:dyDescent="0.3">
      <c r="A156" t="s">
        <v>359</v>
      </c>
      <c r="B156" t="s">
        <v>79</v>
      </c>
      <c r="C156">
        <v>11</v>
      </c>
      <c r="D156" t="s">
        <v>360</v>
      </c>
      <c r="E156" t="s">
        <v>57</v>
      </c>
      <c r="F156" t="s">
        <v>72</v>
      </c>
      <c r="G156" t="s">
        <v>103</v>
      </c>
      <c r="H156" t="s">
        <v>24</v>
      </c>
      <c r="I156">
        <v>8</v>
      </c>
      <c r="J156">
        <v>4999</v>
      </c>
      <c r="K156">
        <v>39992</v>
      </c>
      <c r="L156">
        <v>10</v>
      </c>
      <c r="M156">
        <v>35992.800000000003</v>
      </c>
      <c r="N156">
        <v>9</v>
      </c>
      <c r="O156" t="s">
        <v>25</v>
      </c>
      <c r="P156" t="s">
        <v>60</v>
      </c>
      <c r="R156">
        <v>38400</v>
      </c>
    </row>
    <row r="157" spans="1:18" ht="15" customHeight="1" x14ac:dyDescent="0.3">
      <c r="A157" t="s">
        <v>361</v>
      </c>
      <c r="B157" t="s">
        <v>83</v>
      </c>
      <c r="C157">
        <v>12</v>
      </c>
      <c r="D157" t="s">
        <v>362</v>
      </c>
      <c r="E157" t="s">
        <v>94</v>
      </c>
      <c r="F157" t="s">
        <v>72</v>
      </c>
      <c r="G157" t="s">
        <v>81</v>
      </c>
      <c r="H157" t="s">
        <v>33</v>
      </c>
      <c r="I157">
        <v>5</v>
      </c>
      <c r="J157">
        <v>1999</v>
      </c>
      <c r="K157">
        <v>9995</v>
      </c>
      <c r="L157">
        <v>0</v>
      </c>
      <c r="M157">
        <v>9995</v>
      </c>
      <c r="N157">
        <v>2</v>
      </c>
      <c r="O157" t="s">
        <v>25</v>
      </c>
      <c r="P157" t="s">
        <v>122</v>
      </c>
      <c r="R157">
        <v>9400</v>
      </c>
    </row>
    <row r="158" spans="1:18" ht="15" customHeight="1" x14ac:dyDescent="0.3">
      <c r="A158" t="s">
        <v>363</v>
      </c>
      <c r="B158" t="s">
        <v>19</v>
      </c>
      <c r="C158">
        <v>1</v>
      </c>
      <c r="D158" t="s">
        <v>364</v>
      </c>
      <c r="E158" t="s">
        <v>65</v>
      </c>
      <c r="F158" t="s">
        <v>72</v>
      </c>
      <c r="G158" t="s">
        <v>73</v>
      </c>
      <c r="H158" t="s">
        <v>40</v>
      </c>
      <c r="I158">
        <v>8</v>
      </c>
      <c r="J158">
        <v>299</v>
      </c>
      <c r="K158">
        <v>2392</v>
      </c>
      <c r="L158">
        <v>10</v>
      </c>
      <c r="M158">
        <v>2152.8000000000002</v>
      </c>
      <c r="N158">
        <v>10</v>
      </c>
      <c r="O158" t="s">
        <v>46</v>
      </c>
      <c r="P158" t="s">
        <v>122</v>
      </c>
      <c r="R158">
        <v>2200</v>
      </c>
    </row>
    <row r="159" spans="1:18" ht="15" customHeight="1" x14ac:dyDescent="0.3">
      <c r="A159" t="s">
        <v>365</v>
      </c>
      <c r="B159" t="s">
        <v>28</v>
      </c>
      <c r="C159">
        <v>2</v>
      </c>
      <c r="D159" t="s">
        <v>366</v>
      </c>
      <c r="E159" t="s">
        <v>38</v>
      </c>
      <c r="F159" t="s">
        <v>22</v>
      </c>
      <c r="G159" t="s">
        <v>23</v>
      </c>
      <c r="H159" t="s">
        <v>40</v>
      </c>
      <c r="I159">
        <v>9</v>
      </c>
      <c r="J159">
        <v>24999</v>
      </c>
      <c r="K159">
        <v>224991</v>
      </c>
      <c r="L159">
        <v>5</v>
      </c>
      <c r="M159">
        <v>213741.45</v>
      </c>
      <c r="N159">
        <v>1</v>
      </c>
      <c r="O159" t="s">
        <v>25</v>
      </c>
      <c r="P159" t="s">
        <v>34</v>
      </c>
      <c r="R159">
        <v>225200</v>
      </c>
    </row>
    <row r="160" spans="1:18" ht="15" customHeight="1" x14ac:dyDescent="0.3">
      <c r="A160" t="s">
        <v>367</v>
      </c>
      <c r="B160" t="s">
        <v>36</v>
      </c>
      <c r="C160">
        <v>3</v>
      </c>
      <c r="D160" t="s">
        <v>368</v>
      </c>
      <c r="E160" t="s">
        <v>118</v>
      </c>
      <c r="F160" t="s">
        <v>22</v>
      </c>
      <c r="G160" t="s">
        <v>39</v>
      </c>
      <c r="H160" t="s">
        <v>24</v>
      </c>
      <c r="I160">
        <v>13</v>
      </c>
      <c r="J160">
        <v>24999</v>
      </c>
      <c r="K160">
        <v>324987</v>
      </c>
      <c r="L160">
        <v>10</v>
      </c>
      <c r="M160">
        <v>292488.3</v>
      </c>
      <c r="N160">
        <v>6</v>
      </c>
      <c r="O160" t="s">
        <v>25</v>
      </c>
      <c r="P160" t="s">
        <v>34</v>
      </c>
      <c r="R160">
        <v>251500</v>
      </c>
    </row>
    <row r="161" spans="1:18" ht="15" customHeight="1" x14ac:dyDescent="0.3">
      <c r="A161" t="s">
        <v>369</v>
      </c>
      <c r="B161" t="s">
        <v>42</v>
      </c>
      <c r="C161">
        <v>4</v>
      </c>
      <c r="D161" t="s">
        <v>370</v>
      </c>
      <c r="E161" t="s">
        <v>57</v>
      </c>
      <c r="F161" t="s">
        <v>72</v>
      </c>
      <c r="G161" t="s">
        <v>112</v>
      </c>
      <c r="H161" t="s">
        <v>40</v>
      </c>
      <c r="I161">
        <v>13</v>
      </c>
      <c r="J161">
        <v>499</v>
      </c>
      <c r="K161">
        <v>6487</v>
      </c>
      <c r="L161">
        <v>20</v>
      </c>
      <c r="M161">
        <v>5189.6000000000004</v>
      </c>
      <c r="N161">
        <v>3</v>
      </c>
      <c r="O161" t="s">
        <v>25</v>
      </c>
      <c r="P161" t="s">
        <v>26</v>
      </c>
      <c r="R161">
        <v>4900</v>
      </c>
    </row>
    <row r="162" spans="1:18" ht="15" customHeight="1" x14ac:dyDescent="0.3">
      <c r="A162" t="s">
        <v>371</v>
      </c>
      <c r="B162" t="s">
        <v>48</v>
      </c>
      <c r="C162">
        <v>5</v>
      </c>
      <c r="D162" t="s">
        <v>372</v>
      </c>
      <c r="E162" t="s">
        <v>30</v>
      </c>
      <c r="F162" t="s">
        <v>31</v>
      </c>
      <c r="G162" t="s">
        <v>251</v>
      </c>
      <c r="H162" t="s">
        <v>33</v>
      </c>
      <c r="I162">
        <v>3</v>
      </c>
      <c r="J162">
        <v>4999</v>
      </c>
      <c r="K162">
        <v>14997</v>
      </c>
      <c r="L162">
        <v>20</v>
      </c>
      <c r="M162">
        <v>11997.6</v>
      </c>
      <c r="N162">
        <v>7</v>
      </c>
      <c r="O162" t="s">
        <v>88</v>
      </c>
      <c r="P162" t="s">
        <v>60</v>
      </c>
      <c r="R162">
        <v>11100</v>
      </c>
    </row>
    <row r="163" spans="1:18" ht="15" customHeight="1" x14ac:dyDescent="0.3">
      <c r="A163" t="s">
        <v>373</v>
      </c>
      <c r="B163" t="s">
        <v>55</v>
      </c>
      <c r="C163">
        <v>6</v>
      </c>
      <c r="D163" t="s">
        <v>374</v>
      </c>
      <c r="E163" t="s">
        <v>21</v>
      </c>
      <c r="F163" t="s">
        <v>72</v>
      </c>
      <c r="G163" t="s">
        <v>73</v>
      </c>
      <c r="H163" t="s">
        <v>33</v>
      </c>
      <c r="I163">
        <v>15</v>
      </c>
      <c r="J163">
        <v>4999</v>
      </c>
      <c r="K163">
        <v>74985</v>
      </c>
      <c r="L163">
        <v>5</v>
      </c>
      <c r="M163">
        <v>71235.75</v>
      </c>
      <c r="N163">
        <v>2</v>
      </c>
      <c r="O163" t="s">
        <v>25</v>
      </c>
      <c r="P163" t="s">
        <v>60</v>
      </c>
      <c r="R163">
        <v>70200</v>
      </c>
    </row>
    <row r="164" spans="1:18" ht="15" customHeight="1" x14ac:dyDescent="0.3">
      <c r="A164" t="s">
        <v>375</v>
      </c>
      <c r="B164" t="s">
        <v>63</v>
      </c>
      <c r="C164">
        <v>7</v>
      </c>
      <c r="D164" t="s">
        <v>376</v>
      </c>
      <c r="E164" t="s">
        <v>57</v>
      </c>
      <c r="F164" t="s">
        <v>72</v>
      </c>
      <c r="G164" t="s">
        <v>270</v>
      </c>
      <c r="H164" t="s">
        <v>33</v>
      </c>
      <c r="I164">
        <v>6</v>
      </c>
      <c r="J164">
        <v>499</v>
      </c>
      <c r="K164">
        <v>2994</v>
      </c>
      <c r="L164">
        <v>20</v>
      </c>
      <c r="M164">
        <v>2395.1999999999998</v>
      </c>
      <c r="N164">
        <v>9</v>
      </c>
      <c r="O164" t="s">
        <v>25</v>
      </c>
      <c r="P164" t="s">
        <v>122</v>
      </c>
      <c r="R164">
        <v>2600</v>
      </c>
    </row>
    <row r="165" spans="1:18" ht="15" customHeight="1" x14ac:dyDescent="0.3">
      <c r="A165" t="s">
        <v>377</v>
      </c>
      <c r="B165" t="s">
        <v>67</v>
      </c>
      <c r="C165">
        <v>8</v>
      </c>
      <c r="D165" t="s">
        <v>255</v>
      </c>
      <c r="E165" t="s">
        <v>50</v>
      </c>
      <c r="F165" t="s">
        <v>31</v>
      </c>
      <c r="G165" t="s">
        <v>134</v>
      </c>
      <c r="H165" t="s">
        <v>24</v>
      </c>
      <c r="I165">
        <v>4</v>
      </c>
      <c r="J165">
        <v>799</v>
      </c>
      <c r="K165">
        <v>3196</v>
      </c>
      <c r="L165">
        <v>5</v>
      </c>
      <c r="M165">
        <v>3036.2</v>
      </c>
      <c r="N165">
        <v>8</v>
      </c>
      <c r="O165" t="s">
        <v>25</v>
      </c>
      <c r="P165" t="s">
        <v>34</v>
      </c>
      <c r="R165">
        <v>3100</v>
      </c>
    </row>
    <row r="166" spans="1:18" ht="15" customHeight="1" x14ac:dyDescent="0.3">
      <c r="A166" t="s">
        <v>378</v>
      </c>
      <c r="B166" t="s">
        <v>70</v>
      </c>
      <c r="C166">
        <v>9</v>
      </c>
      <c r="D166" t="s">
        <v>107</v>
      </c>
      <c r="E166" t="s">
        <v>118</v>
      </c>
      <c r="F166" t="s">
        <v>51</v>
      </c>
      <c r="G166" t="s">
        <v>95</v>
      </c>
      <c r="H166" t="s">
        <v>24</v>
      </c>
      <c r="I166">
        <v>5</v>
      </c>
      <c r="J166">
        <v>2999</v>
      </c>
      <c r="K166">
        <v>14995</v>
      </c>
      <c r="L166">
        <v>15</v>
      </c>
      <c r="M166">
        <v>12745.75</v>
      </c>
      <c r="N166">
        <v>9</v>
      </c>
      <c r="O166" t="s">
        <v>25</v>
      </c>
      <c r="P166" t="s">
        <v>26</v>
      </c>
      <c r="R166">
        <v>14000</v>
      </c>
    </row>
    <row r="167" spans="1:18" ht="15" customHeight="1" x14ac:dyDescent="0.3">
      <c r="A167" t="s">
        <v>379</v>
      </c>
      <c r="B167" t="s">
        <v>75</v>
      </c>
      <c r="C167">
        <v>10</v>
      </c>
      <c r="D167" t="s">
        <v>380</v>
      </c>
      <c r="E167" t="s">
        <v>118</v>
      </c>
      <c r="F167" t="s">
        <v>31</v>
      </c>
      <c r="G167" t="s">
        <v>134</v>
      </c>
      <c r="H167" t="s">
        <v>40</v>
      </c>
      <c r="I167">
        <v>8</v>
      </c>
      <c r="J167">
        <v>24999</v>
      </c>
      <c r="K167">
        <v>199992</v>
      </c>
      <c r="L167">
        <v>20</v>
      </c>
      <c r="M167">
        <v>159993.60000000001</v>
      </c>
      <c r="N167">
        <v>6</v>
      </c>
      <c r="O167" t="s">
        <v>25</v>
      </c>
      <c r="P167" t="s">
        <v>34</v>
      </c>
      <c r="R167">
        <v>166700</v>
      </c>
    </row>
    <row r="168" spans="1:18" ht="15" customHeight="1" x14ac:dyDescent="0.3">
      <c r="A168" t="s">
        <v>381</v>
      </c>
      <c r="B168" t="s">
        <v>79</v>
      </c>
      <c r="C168">
        <v>11</v>
      </c>
      <c r="D168" t="s">
        <v>319</v>
      </c>
      <c r="E168" t="s">
        <v>30</v>
      </c>
      <c r="F168" t="s">
        <v>31</v>
      </c>
      <c r="G168" t="s">
        <v>181</v>
      </c>
      <c r="H168" t="s">
        <v>24</v>
      </c>
      <c r="I168">
        <v>9</v>
      </c>
      <c r="J168">
        <v>799</v>
      </c>
      <c r="K168">
        <v>7191</v>
      </c>
      <c r="L168">
        <v>10</v>
      </c>
      <c r="M168">
        <v>6471.9</v>
      </c>
      <c r="N168">
        <v>3</v>
      </c>
      <c r="O168" t="s">
        <v>25</v>
      </c>
      <c r="P168" t="s">
        <v>53</v>
      </c>
      <c r="R168">
        <v>6200</v>
      </c>
    </row>
    <row r="169" spans="1:18" ht="15" customHeight="1" x14ac:dyDescent="0.3">
      <c r="A169" t="s">
        <v>382</v>
      </c>
      <c r="B169" t="s">
        <v>83</v>
      </c>
      <c r="C169">
        <v>12</v>
      </c>
      <c r="D169" t="s">
        <v>114</v>
      </c>
      <c r="E169" t="s">
        <v>21</v>
      </c>
      <c r="F169" t="s">
        <v>44</v>
      </c>
      <c r="G169" t="s">
        <v>85</v>
      </c>
      <c r="H169" t="s">
        <v>24</v>
      </c>
      <c r="I169">
        <v>11</v>
      </c>
      <c r="J169">
        <v>7999</v>
      </c>
      <c r="K169">
        <v>87989</v>
      </c>
      <c r="L169">
        <v>10</v>
      </c>
      <c r="M169">
        <v>79190.100000000006</v>
      </c>
      <c r="N169">
        <v>3</v>
      </c>
      <c r="O169" t="s">
        <v>25</v>
      </c>
      <c r="P169" t="s">
        <v>34</v>
      </c>
      <c r="R169">
        <v>80000</v>
      </c>
    </row>
    <row r="170" spans="1:18" ht="15" customHeight="1" x14ac:dyDescent="0.3">
      <c r="A170" t="s">
        <v>383</v>
      </c>
      <c r="B170" t="s">
        <v>19</v>
      </c>
      <c r="C170">
        <v>1</v>
      </c>
      <c r="D170" t="s">
        <v>384</v>
      </c>
      <c r="E170" t="s">
        <v>94</v>
      </c>
      <c r="F170" t="s">
        <v>31</v>
      </c>
      <c r="G170" t="s">
        <v>77</v>
      </c>
      <c r="H170" t="s">
        <v>24</v>
      </c>
      <c r="I170">
        <v>11</v>
      </c>
      <c r="J170">
        <v>12999</v>
      </c>
      <c r="K170">
        <v>142989</v>
      </c>
      <c r="L170">
        <v>20</v>
      </c>
      <c r="M170">
        <v>114391.2</v>
      </c>
      <c r="N170">
        <v>6</v>
      </c>
      <c r="O170" t="s">
        <v>88</v>
      </c>
      <c r="P170" t="s">
        <v>34</v>
      </c>
      <c r="R170">
        <v>98600</v>
      </c>
    </row>
    <row r="171" spans="1:18" ht="15" customHeight="1" x14ac:dyDescent="0.3">
      <c r="A171" t="s">
        <v>385</v>
      </c>
      <c r="B171" t="s">
        <v>28</v>
      </c>
      <c r="C171">
        <v>2</v>
      </c>
      <c r="D171" t="s">
        <v>386</v>
      </c>
      <c r="E171" t="s">
        <v>30</v>
      </c>
      <c r="F171" t="s">
        <v>22</v>
      </c>
      <c r="G171" t="s">
        <v>23</v>
      </c>
      <c r="H171" t="s">
        <v>33</v>
      </c>
      <c r="I171">
        <v>13</v>
      </c>
      <c r="J171">
        <v>12999</v>
      </c>
      <c r="K171">
        <v>168987</v>
      </c>
      <c r="L171">
        <v>10</v>
      </c>
      <c r="M171">
        <v>152088.29999999999</v>
      </c>
      <c r="N171">
        <v>4</v>
      </c>
      <c r="O171" t="s">
        <v>59</v>
      </c>
      <c r="P171" t="s">
        <v>26</v>
      </c>
      <c r="Q171" t="s">
        <v>61</v>
      </c>
      <c r="R171">
        <v>158400</v>
      </c>
    </row>
    <row r="172" spans="1:18" ht="15" customHeight="1" x14ac:dyDescent="0.3">
      <c r="A172" t="s">
        <v>387</v>
      </c>
      <c r="B172" t="s">
        <v>36</v>
      </c>
      <c r="C172">
        <v>3</v>
      </c>
      <c r="D172" t="s">
        <v>388</v>
      </c>
      <c r="E172" t="s">
        <v>21</v>
      </c>
      <c r="F172" t="s">
        <v>51</v>
      </c>
      <c r="G172" t="s">
        <v>52</v>
      </c>
      <c r="H172" t="s">
        <v>40</v>
      </c>
      <c r="I172">
        <v>4</v>
      </c>
      <c r="J172">
        <v>24999</v>
      </c>
      <c r="K172">
        <v>99996</v>
      </c>
      <c r="L172">
        <v>15</v>
      </c>
      <c r="M172">
        <v>84996.6</v>
      </c>
      <c r="N172">
        <v>5</v>
      </c>
      <c r="O172" t="s">
        <v>25</v>
      </c>
      <c r="P172" t="s">
        <v>60</v>
      </c>
      <c r="R172">
        <v>76300</v>
      </c>
    </row>
    <row r="173" spans="1:18" ht="15" customHeight="1" x14ac:dyDescent="0.3">
      <c r="A173" t="s">
        <v>389</v>
      </c>
      <c r="B173" t="s">
        <v>42</v>
      </c>
      <c r="C173">
        <v>4</v>
      </c>
      <c r="D173" t="s">
        <v>127</v>
      </c>
      <c r="E173" t="s">
        <v>50</v>
      </c>
      <c r="F173" t="s">
        <v>72</v>
      </c>
      <c r="G173" t="s">
        <v>103</v>
      </c>
      <c r="H173" t="s">
        <v>40</v>
      </c>
      <c r="I173">
        <v>10</v>
      </c>
      <c r="J173">
        <v>799</v>
      </c>
      <c r="K173">
        <v>7990</v>
      </c>
      <c r="L173">
        <v>10</v>
      </c>
      <c r="M173">
        <v>7191</v>
      </c>
      <c r="N173">
        <v>6</v>
      </c>
      <c r="O173" t="s">
        <v>59</v>
      </c>
      <c r="P173" t="s">
        <v>122</v>
      </c>
      <c r="Q173" t="s">
        <v>149</v>
      </c>
      <c r="R173">
        <v>6400</v>
      </c>
    </row>
    <row r="174" spans="1:18" ht="15" customHeight="1" x14ac:dyDescent="0.3">
      <c r="A174" t="s">
        <v>390</v>
      </c>
      <c r="B174" t="s">
        <v>48</v>
      </c>
      <c r="C174">
        <v>5</v>
      </c>
      <c r="D174" t="s">
        <v>248</v>
      </c>
      <c r="E174" t="s">
        <v>118</v>
      </c>
      <c r="F174" t="s">
        <v>51</v>
      </c>
      <c r="G174" t="s">
        <v>157</v>
      </c>
      <c r="H174" t="s">
        <v>40</v>
      </c>
      <c r="I174">
        <v>4</v>
      </c>
      <c r="J174">
        <v>4999</v>
      </c>
      <c r="K174">
        <v>19996</v>
      </c>
      <c r="L174">
        <v>0</v>
      </c>
      <c r="M174">
        <v>19996</v>
      </c>
      <c r="N174">
        <v>5</v>
      </c>
      <c r="O174" t="s">
        <v>25</v>
      </c>
      <c r="P174" t="s">
        <v>53</v>
      </c>
      <c r="R174">
        <v>17600</v>
      </c>
    </row>
    <row r="175" spans="1:18" ht="15" customHeight="1" x14ac:dyDescent="0.3">
      <c r="A175" t="s">
        <v>391</v>
      </c>
      <c r="B175" t="s">
        <v>55</v>
      </c>
      <c r="C175">
        <v>6</v>
      </c>
      <c r="D175" t="s">
        <v>392</v>
      </c>
      <c r="E175" t="s">
        <v>38</v>
      </c>
      <c r="F175" t="s">
        <v>72</v>
      </c>
      <c r="G175" t="s">
        <v>81</v>
      </c>
      <c r="H175" t="s">
        <v>24</v>
      </c>
      <c r="I175">
        <v>14</v>
      </c>
      <c r="J175">
        <v>799</v>
      </c>
      <c r="K175">
        <v>11186</v>
      </c>
      <c r="L175">
        <v>10</v>
      </c>
      <c r="M175">
        <v>10067.4</v>
      </c>
      <c r="N175">
        <v>10</v>
      </c>
      <c r="O175" t="s">
        <v>59</v>
      </c>
      <c r="P175" t="s">
        <v>53</v>
      </c>
      <c r="Q175" t="s">
        <v>195</v>
      </c>
      <c r="R175">
        <v>10100</v>
      </c>
    </row>
    <row r="176" spans="1:18" ht="15" customHeight="1" x14ac:dyDescent="0.3">
      <c r="A176" t="s">
        <v>393</v>
      </c>
      <c r="B176" t="s">
        <v>63</v>
      </c>
      <c r="C176">
        <v>7</v>
      </c>
      <c r="D176" t="s">
        <v>274</v>
      </c>
      <c r="E176" t="s">
        <v>21</v>
      </c>
      <c r="F176" t="s">
        <v>72</v>
      </c>
      <c r="G176" t="s">
        <v>103</v>
      </c>
      <c r="H176" t="s">
        <v>40</v>
      </c>
      <c r="I176">
        <v>1</v>
      </c>
      <c r="J176">
        <v>499</v>
      </c>
      <c r="K176">
        <v>499</v>
      </c>
      <c r="L176">
        <v>15</v>
      </c>
      <c r="M176">
        <v>424.15</v>
      </c>
      <c r="N176">
        <v>9</v>
      </c>
      <c r="O176" t="s">
        <v>25</v>
      </c>
      <c r="P176" t="s">
        <v>53</v>
      </c>
      <c r="R176">
        <v>400</v>
      </c>
    </row>
    <row r="177" spans="1:18" ht="15" customHeight="1" x14ac:dyDescent="0.3">
      <c r="A177" t="s">
        <v>394</v>
      </c>
      <c r="B177" t="s">
        <v>67</v>
      </c>
      <c r="C177">
        <v>8</v>
      </c>
      <c r="D177" t="s">
        <v>277</v>
      </c>
      <c r="E177" t="s">
        <v>21</v>
      </c>
      <c r="F177" t="s">
        <v>22</v>
      </c>
      <c r="G177" t="s">
        <v>23</v>
      </c>
      <c r="H177" t="s">
        <v>40</v>
      </c>
      <c r="I177">
        <v>10</v>
      </c>
      <c r="J177">
        <v>24999</v>
      </c>
      <c r="K177">
        <v>249990</v>
      </c>
      <c r="L177">
        <v>15</v>
      </c>
      <c r="M177">
        <v>212491.5</v>
      </c>
      <c r="N177">
        <v>5</v>
      </c>
      <c r="O177" t="s">
        <v>25</v>
      </c>
      <c r="P177" t="s">
        <v>60</v>
      </c>
      <c r="R177">
        <v>208100</v>
      </c>
    </row>
    <row r="178" spans="1:18" ht="15" customHeight="1" x14ac:dyDescent="0.3">
      <c r="A178" t="s">
        <v>395</v>
      </c>
      <c r="B178" t="s">
        <v>70</v>
      </c>
      <c r="C178">
        <v>9</v>
      </c>
      <c r="D178" t="s">
        <v>396</v>
      </c>
      <c r="E178" t="s">
        <v>57</v>
      </c>
      <c r="F178" t="s">
        <v>44</v>
      </c>
      <c r="G178" t="s">
        <v>58</v>
      </c>
      <c r="H178" t="s">
        <v>24</v>
      </c>
      <c r="I178">
        <v>7</v>
      </c>
      <c r="J178">
        <v>299</v>
      </c>
      <c r="K178">
        <v>2093</v>
      </c>
      <c r="L178">
        <v>20</v>
      </c>
      <c r="M178">
        <v>1674.4</v>
      </c>
      <c r="N178">
        <v>9</v>
      </c>
      <c r="O178" t="s">
        <v>25</v>
      </c>
      <c r="P178" t="s">
        <v>34</v>
      </c>
      <c r="R178">
        <v>1600</v>
      </c>
    </row>
    <row r="179" spans="1:18" ht="15" customHeight="1" x14ac:dyDescent="0.3">
      <c r="A179" t="s">
        <v>397</v>
      </c>
      <c r="B179" t="s">
        <v>75</v>
      </c>
      <c r="C179">
        <v>10</v>
      </c>
      <c r="D179" t="s">
        <v>398</v>
      </c>
      <c r="E179" t="s">
        <v>21</v>
      </c>
      <c r="F179" t="s">
        <v>51</v>
      </c>
      <c r="G179" t="s">
        <v>275</v>
      </c>
      <c r="H179" t="s">
        <v>33</v>
      </c>
      <c r="I179">
        <v>11</v>
      </c>
      <c r="J179">
        <v>12999</v>
      </c>
      <c r="K179">
        <v>142989</v>
      </c>
      <c r="L179">
        <v>0</v>
      </c>
      <c r="M179">
        <v>142989</v>
      </c>
      <c r="N179">
        <v>3</v>
      </c>
      <c r="O179" t="s">
        <v>46</v>
      </c>
      <c r="P179" t="s">
        <v>26</v>
      </c>
      <c r="R179">
        <v>137500</v>
      </c>
    </row>
    <row r="180" spans="1:18" ht="15" customHeight="1" x14ac:dyDescent="0.3">
      <c r="A180" t="s">
        <v>399</v>
      </c>
      <c r="B180" t="s">
        <v>79</v>
      </c>
      <c r="C180">
        <v>11</v>
      </c>
      <c r="D180" t="s">
        <v>400</v>
      </c>
      <c r="E180" t="s">
        <v>94</v>
      </c>
      <c r="F180" t="s">
        <v>51</v>
      </c>
      <c r="G180" t="s">
        <v>52</v>
      </c>
      <c r="H180" t="s">
        <v>24</v>
      </c>
      <c r="I180">
        <v>10</v>
      </c>
      <c r="J180">
        <v>7999</v>
      </c>
      <c r="K180">
        <v>79990</v>
      </c>
      <c r="L180">
        <v>15</v>
      </c>
      <c r="M180">
        <v>67991.5</v>
      </c>
      <c r="N180">
        <v>9</v>
      </c>
      <c r="O180" t="s">
        <v>25</v>
      </c>
      <c r="P180" t="s">
        <v>60</v>
      </c>
      <c r="R180">
        <v>60600</v>
      </c>
    </row>
    <row r="181" spans="1:18" ht="15" customHeight="1" x14ac:dyDescent="0.3">
      <c r="A181" t="s">
        <v>401</v>
      </c>
      <c r="B181" t="s">
        <v>83</v>
      </c>
      <c r="C181">
        <v>12</v>
      </c>
      <c r="D181" t="s">
        <v>362</v>
      </c>
      <c r="E181" t="s">
        <v>65</v>
      </c>
      <c r="F181" t="s">
        <v>72</v>
      </c>
      <c r="G181" t="s">
        <v>81</v>
      </c>
      <c r="H181" t="s">
        <v>24</v>
      </c>
      <c r="I181">
        <v>10</v>
      </c>
      <c r="J181">
        <v>7999</v>
      </c>
      <c r="K181">
        <v>79990</v>
      </c>
      <c r="L181">
        <v>5</v>
      </c>
      <c r="M181">
        <v>75990.5</v>
      </c>
      <c r="N181">
        <v>6</v>
      </c>
      <c r="O181" t="s">
        <v>46</v>
      </c>
      <c r="P181" t="s">
        <v>122</v>
      </c>
      <c r="R181">
        <v>68300</v>
      </c>
    </row>
    <row r="182" spans="1:18" ht="15" customHeight="1" x14ac:dyDescent="0.3">
      <c r="A182" t="s">
        <v>402</v>
      </c>
      <c r="B182" t="s">
        <v>19</v>
      </c>
      <c r="C182">
        <v>1</v>
      </c>
      <c r="D182" t="s">
        <v>403</v>
      </c>
      <c r="E182" t="s">
        <v>57</v>
      </c>
      <c r="F182" t="s">
        <v>44</v>
      </c>
      <c r="G182" t="s">
        <v>45</v>
      </c>
      <c r="H182" t="s">
        <v>33</v>
      </c>
      <c r="I182">
        <v>14</v>
      </c>
      <c r="J182">
        <v>7999</v>
      </c>
      <c r="K182">
        <v>111986</v>
      </c>
      <c r="L182">
        <v>20</v>
      </c>
      <c r="M182">
        <v>89588.800000000003</v>
      </c>
      <c r="N182">
        <v>8</v>
      </c>
      <c r="O182" t="s">
        <v>59</v>
      </c>
      <c r="P182" t="s">
        <v>122</v>
      </c>
      <c r="Q182" t="s">
        <v>149</v>
      </c>
      <c r="R182">
        <v>98100</v>
      </c>
    </row>
    <row r="183" spans="1:18" ht="15" customHeight="1" x14ac:dyDescent="0.3">
      <c r="A183" t="s">
        <v>404</v>
      </c>
      <c r="B183" t="s">
        <v>28</v>
      </c>
      <c r="C183">
        <v>2</v>
      </c>
      <c r="D183" t="s">
        <v>405</v>
      </c>
      <c r="E183" t="s">
        <v>38</v>
      </c>
      <c r="F183" t="s">
        <v>44</v>
      </c>
      <c r="G183" t="s">
        <v>85</v>
      </c>
      <c r="H183" t="s">
        <v>33</v>
      </c>
      <c r="I183">
        <v>5</v>
      </c>
      <c r="J183">
        <v>24999</v>
      </c>
      <c r="K183">
        <v>124995</v>
      </c>
      <c r="L183">
        <v>0</v>
      </c>
      <c r="M183">
        <v>124995</v>
      </c>
      <c r="N183">
        <v>10</v>
      </c>
      <c r="O183" t="s">
        <v>25</v>
      </c>
      <c r="P183" t="s">
        <v>34</v>
      </c>
      <c r="R183">
        <v>127900</v>
      </c>
    </row>
    <row r="184" spans="1:18" ht="15" customHeight="1" x14ac:dyDescent="0.3">
      <c r="A184" t="s">
        <v>406</v>
      </c>
      <c r="B184" t="s">
        <v>36</v>
      </c>
      <c r="C184">
        <v>3</v>
      </c>
      <c r="D184" t="s">
        <v>407</v>
      </c>
      <c r="E184" t="s">
        <v>65</v>
      </c>
      <c r="F184" t="s">
        <v>22</v>
      </c>
      <c r="G184" t="s">
        <v>121</v>
      </c>
      <c r="H184" t="s">
        <v>24</v>
      </c>
      <c r="I184">
        <v>9</v>
      </c>
      <c r="J184">
        <v>24999</v>
      </c>
      <c r="K184">
        <v>224991</v>
      </c>
      <c r="L184">
        <v>20</v>
      </c>
      <c r="M184">
        <v>179992.8</v>
      </c>
      <c r="N184">
        <v>7</v>
      </c>
      <c r="O184" t="s">
        <v>25</v>
      </c>
      <c r="P184" t="s">
        <v>53</v>
      </c>
      <c r="R184">
        <v>154700</v>
      </c>
    </row>
    <row r="185" spans="1:18" ht="15" customHeight="1" x14ac:dyDescent="0.3">
      <c r="A185" t="s">
        <v>408</v>
      </c>
      <c r="B185" t="s">
        <v>42</v>
      </c>
      <c r="C185">
        <v>4</v>
      </c>
      <c r="D185" t="s">
        <v>409</v>
      </c>
      <c r="E185" t="s">
        <v>30</v>
      </c>
      <c r="F185" t="s">
        <v>22</v>
      </c>
      <c r="G185" t="s">
        <v>39</v>
      </c>
      <c r="H185" t="s">
        <v>40</v>
      </c>
      <c r="I185">
        <v>6</v>
      </c>
      <c r="J185">
        <v>2999</v>
      </c>
      <c r="K185">
        <v>17994</v>
      </c>
      <c r="L185">
        <v>5</v>
      </c>
      <c r="M185">
        <v>17094.3</v>
      </c>
      <c r="N185">
        <v>7</v>
      </c>
      <c r="O185" t="s">
        <v>25</v>
      </c>
      <c r="P185" t="s">
        <v>26</v>
      </c>
      <c r="R185">
        <v>17100</v>
      </c>
    </row>
    <row r="186" spans="1:18" ht="15" customHeight="1" x14ac:dyDescent="0.3">
      <c r="A186" t="s">
        <v>410</v>
      </c>
      <c r="B186" t="s">
        <v>48</v>
      </c>
      <c r="C186">
        <v>5</v>
      </c>
      <c r="D186" t="s">
        <v>226</v>
      </c>
      <c r="E186" t="s">
        <v>94</v>
      </c>
      <c r="F186" t="s">
        <v>72</v>
      </c>
      <c r="G186" t="s">
        <v>270</v>
      </c>
      <c r="H186" t="s">
        <v>33</v>
      </c>
      <c r="I186">
        <v>4</v>
      </c>
      <c r="J186">
        <v>7999</v>
      </c>
      <c r="K186">
        <v>31996</v>
      </c>
      <c r="L186">
        <v>10</v>
      </c>
      <c r="M186">
        <v>28796.400000000001</v>
      </c>
      <c r="N186">
        <v>8</v>
      </c>
      <c r="O186" t="s">
        <v>25</v>
      </c>
      <c r="P186" t="s">
        <v>122</v>
      </c>
      <c r="R186">
        <v>32700</v>
      </c>
    </row>
    <row r="187" spans="1:18" ht="15" customHeight="1" x14ac:dyDescent="0.3">
      <c r="A187" t="s">
        <v>411</v>
      </c>
      <c r="B187" t="s">
        <v>55</v>
      </c>
      <c r="C187">
        <v>6</v>
      </c>
      <c r="D187" t="s">
        <v>412</v>
      </c>
      <c r="E187" t="s">
        <v>57</v>
      </c>
      <c r="F187" t="s">
        <v>51</v>
      </c>
      <c r="G187" t="s">
        <v>52</v>
      </c>
      <c r="H187" t="s">
        <v>33</v>
      </c>
      <c r="I187">
        <v>13</v>
      </c>
      <c r="J187">
        <v>24999</v>
      </c>
      <c r="K187">
        <v>324987</v>
      </c>
      <c r="L187">
        <v>10</v>
      </c>
      <c r="M187">
        <v>292488.3</v>
      </c>
      <c r="N187">
        <v>10</v>
      </c>
      <c r="O187" t="s">
        <v>25</v>
      </c>
      <c r="P187" t="s">
        <v>53</v>
      </c>
      <c r="R187">
        <v>273100</v>
      </c>
    </row>
    <row r="188" spans="1:18" ht="15" customHeight="1" x14ac:dyDescent="0.3">
      <c r="A188" t="s">
        <v>413</v>
      </c>
      <c r="B188" t="s">
        <v>63</v>
      </c>
      <c r="C188">
        <v>7</v>
      </c>
      <c r="D188" t="s">
        <v>414</v>
      </c>
      <c r="E188" t="s">
        <v>21</v>
      </c>
      <c r="F188" t="s">
        <v>31</v>
      </c>
      <c r="G188" t="s">
        <v>134</v>
      </c>
      <c r="H188" t="s">
        <v>33</v>
      </c>
      <c r="I188">
        <v>4</v>
      </c>
      <c r="J188">
        <v>4999</v>
      </c>
      <c r="K188">
        <v>19996</v>
      </c>
      <c r="L188">
        <v>10</v>
      </c>
      <c r="M188">
        <v>17996.400000000001</v>
      </c>
      <c r="N188">
        <v>8</v>
      </c>
      <c r="O188" t="s">
        <v>25</v>
      </c>
      <c r="P188" t="s">
        <v>122</v>
      </c>
      <c r="R188">
        <v>16900</v>
      </c>
    </row>
    <row r="189" spans="1:18" ht="15" customHeight="1" x14ac:dyDescent="0.3">
      <c r="A189" t="s">
        <v>415</v>
      </c>
      <c r="B189" t="s">
        <v>67</v>
      </c>
      <c r="C189">
        <v>8</v>
      </c>
      <c r="D189" t="s">
        <v>255</v>
      </c>
      <c r="E189" t="s">
        <v>38</v>
      </c>
      <c r="F189" t="s">
        <v>51</v>
      </c>
      <c r="G189" t="s">
        <v>275</v>
      </c>
      <c r="H189" t="s">
        <v>40</v>
      </c>
      <c r="I189">
        <v>13</v>
      </c>
      <c r="J189">
        <v>799</v>
      </c>
      <c r="K189">
        <v>10387</v>
      </c>
      <c r="L189">
        <v>10</v>
      </c>
      <c r="M189">
        <v>9348.2999999999993</v>
      </c>
      <c r="N189">
        <v>1</v>
      </c>
      <c r="O189" t="s">
        <v>25</v>
      </c>
      <c r="P189" t="s">
        <v>60</v>
      </c>
      <c r="R189">
        <v>8900</v>
      </c>
    </row>
    <row r="190" spans="1:18" ht="15" customHeight="1" x14ac:dyDescent="0.3">
      <c r="A190" t="s">
        <v>416</v>
      </c>
      <c r="B190" t="s">
        <v>70</v>
      </c>
      <c r="C190">
        <v>9</v>
      </c>
      <c r="D190" t="s">
        <v>417</v>
      </c>
      <c r="E190" t="s">
        <v>50</v>
      </c>
      <c r="F190" t="s">
        <v>44</v>
      </c>
      <c r="G190" t="s">
        <v>58</v>
      </c>
      <c r="H190" t="s">
        <v>24</v>
      </c>
      <c r="I190">
        <v>14</v>
      </c>
      <c r="J190">
        <v>7999</v>
      </c>
      <c r="K190">
        <v>111986</v>
      </c>
      <c r="L190">
        <v>10</v>
      </c>
      <c r="M190">
        <v>100787.4</v>
      </c>
      <c r="N190">
        <v>9</v>
      </c>
      <c r="O190" t="s">
        <v>25</v>
      </c>
      <c r="P190" t="s">
        <v>53</v>
      </c>
      <c r="R190">
        <v>89000</v>
      </c>
    </row>
    <row r="191" spans="1:18" ht="15" customHeight="1" x14ac:dyDescent="0.3">
      <c r="A191" t="s">
        <v>418</v>
      </c>
      <c r="B191" t="s">
        <v>75</v>
      </c>
      <c r="C191">
        <v>10</v>
      </c>
      <c r="D191" t="s">
        <v>419</v>
      </c>
      <c r="E191" t="s">
        <v>50</v>
      </c>
      <c r="F191" t="s">
        <v>51</v>
      </c>
      <c r="G191" t="s">
        <v>95</v>
      </c>
      <c r="H191" t="s">
        <v>24</v>
      </c>
      <c r="I191">
        <v>11</v>
      </c>
      <c r="J191">
        <v>7999</v>
      </c>
      <c r="K191">
        <v>87989</v>
      </c>
      <c r="L191">
        <v>5</v>
      </c>
      <c r="M191">
        <v>83589.55</v>
      </c>
      <c r="N191">
        <v>4</v>
      </c>
      <c r="O191" t="s">
        <v>25</v>
      </c>
      <c r="P191" t="s">
        <v>26</v>
      </c>
      <c r="R191">
        <v>79300</v>
      </c>
    </row>
    <row r="192" spans="1:18" ht="15" customHeight="1" x14ac:dyDescent="0.3">
      <c r="A192" t="s">
        <v>420</v>
      </c>
      <c r="B192" t="s">
        <v>79</v>
      </c>
      <c r="C192">
        <v>11</v>
      </c>
      <c r="D192" t="s">
        <v>299</v>
      </c>
      <c r="E192" t="s">
        <v>30</v>
      </c>
      <c r="F192" t="s">
        <v>22</v>
      </c>
      <c r="G192" t="s">
        <v>39</v>
      </c>
      <c r="H192" t="s">
        <v>33</v>
      </c>
      <c r="I192">
        <v>15</v>
      </c>
      <c r="J192">
        <v>799</v>
      </c>
      <c r="K192">
        <v>11985</v>
      </c>
      <c r="L192">
        <v>15</v>
      </c>
      <c r="M192">
        <v>10187.25</v>
      </c>
      <c r="N192">
        <v>8</v>
      </c>
      <c r="O192" t="s">
        <v>25</v>
      </c>
      <c r="P192" t="s">
        <v>53</v>
      </c>
      <c r="R192">
        <v>11000</v>
      </c>
    </row>
    <row r="193" spans="1:18" ht="15" customHeight="1" x14ac:dyDescent="0.3">
      <c r="A193" t="s">
        <v>421</v>
      </c>
      <c r="B193" t="s">
        <v>83</v>
      </c>
      <c r="C193">
        <v>12</v>
      </c>
      <c r="D193" t="s">
        <v>422</v>
      </c>
      <c r="E193" t="s">
        <v>30</v>
      </c>
      <c r="F193" t="s">
        <v>44</v>
      </c>
      <c r="G193" t="s">
        <v>171</v>
      </c>
      <c r="H193" t="s">
        <v>24</v>
      </c>
      <c r="I193">
        <v>11</v>
      </c>
      <c r="J193">
        <v>12999</v>
      </c>
      <c r="K193">
        <v>142989</v>
      </c>
      <c r="L193">
        <v>5</v>
      </c>
      <c r="M193">
        <v>135839.54999999999</v>
      </c>
      <c r="N193">
        <v>9</v>
      </c>
      <c r="O193" t="s">
        <v>59</v>
      </c>
      <c r="P193" t="s">
        <v>60</v>
      </c>
      <c r="Q193" t="s">
        <v>195</v>
      </c>
      <c r="R193">
        <v>132500</v>
      </c>
    </row>
    <row r="194" spans="1:18" ht="15" customHeight="1" x14ac:dyDescent="0.3">
      <c r="A194" t="s">
        <v>423</v>
      </c>
      <c r="B194" t="s">
        <v>19</v>
      </c>
      <c r="C194">
        <v>1</v>
      </c>
      <c r="D194" t="s">
        <v>242</v>
      </c>
      <c r="E194" t="s">
        <v>38</v>
      </c>
      <c r="F194" t="s">
        <v>31</v>
      </c>
      <c r="G194" t="s">
        <v>251</v>
      </c>
      <c r="H194" t="s">
        <v>40</v>
      </c>
      <c r="I194">
        <v>3</v>
      </c>
      <c r="J194">
        <v>1499</v>
      </c>
      <c r="K194">
        <v>4497</v>
      </c>
      <c r="L194">
        <v>0</v>
      </c>
      <c r="M194">
        <v>4497</v>
      </c>
      <c r="N194">
        <v>1</v>
      </c>
      <c r="O194" t="s">
        <v>25</v>
      </c>
      <c r="P194" t="s">
        <v>34</v>
      </c>
      <c r="R194">
        <v>4000</v>
      </c>
    </row>
    <row r="195" spans="1:18" ht="15" customHeight="1" x14ac:dyDescent="0.3">
      <c r="A195" t="s">
        <v>424</v>
      </c>
      <c r="B195" t="s">
        <v>28</v>
      </c>
      <c r="C195">
        <v>2</v>
      </c>
      <c r="D195" t="s">
        <v>405</v>
      </c>
      <c r="E195" t="s">
        <v>65</v>
      </c>
      <c r="F195" t="s">
        <v>44</v>
      </c>
      <c r="G195" t="s">
        <v>58</v>
      </c>
      <c r="H195" t="s">
        <v>24</v>
      </c>
      <c r="I195">
        <v>14</v>
      </c>
      <c r="J195">
        <v>7999</v>
      </c>
      <c r="K195">
        <v>111986</v>
      </c>
      <c r="L195">
        <v>15</v>
      </c>
      <c r="M195">
        <v>95188.1</v>
      </c>
      <c r="N195">
        <v>5</v>
      </c>
      <c r="O195" t="s">
        <v>25</v>
      </c>
      <c r="P195" t="s">
        <v>60</v>
      </c>
      <c r="R195">
        <v>90400</v>
      </c>
    </row>
    <row r="196" spans="1:18" ht="15" customHeight="1" x14ac:dyDescent="0.3">
      <c r="A196" t="s">
        <v>425</v>
      </c>
      <c r="B196" t="s">
        <v>36</v>
      </c>
      <c r="C196">
        <v>3</v>
      </c>
      <c r="D196" t="s">
        <v>37</v>
      </c>
      <c r="E196" t="s">
        <v>94</v>
      </c>
      <c r="F196" t="s">
        <v>72</v>
      </c>
      <c r="G196" t="s">
        <v>112</v>
      </c>
      <c r="H196" t="s">
        <v>24</v>
      </c>
      <c r="I196">
        <v>12</v>
      </c>
      <c r="J196">
        <v>1999</v>
      </c>
      <c r="K196">
        <v>23988</v>
      </c>
      <c r="L196">
        <v>10</v>
      </c>
      <c r="M196">
        <v>21589.200000000001</v>
      </c>
      <c r="N196">
        <v>10</v>
      </c>
      <c r="O196" t="s">
        <v>25</v>
      </c>
      <c r="P196" t="s">
        <v>53</v>
      </c>
      <c r="R196">
        <v>19500</v>
      </c>
    </row>
    <row r="197" spans="1:18" ht="15" customHeight="1" x14ac:dyDescent="0.3">
      <c r="A197" t="s">
        <v>426</v>
      </c>
      <c r="B197" t="s">
        <v>42</v>
      </c>
      <c r="C197">
        <v>4</v>
      </c>
      <c r="D197" t="s">
        <v>97</v>
      </c>
      <c r="E197" t="s">
        <v>57</v>
      </c>
      <c r="F197" t="s">
        <v>72</v>
      </c>
      <c r="G197" t="s">
        <v>103</v>
      </c>
      <c r="H197" t="s">
        <v>24</v>
      </c>
      <c r="I197">
        <v>7</v>
      </c>
      <c r="J197">
        <v>24999</v>
      </c>
      <c r="K197">
        <v>174993</v>
      </c>
      <c r="L197">
        <v>0</v>
      </c>
      <c r="M197">
        <v>174993</v>
      </c>
      <c r="N197">
        <v>3</v>
      </c>
      <c r="O197" t="s">
        <v>46</v>
      </c>
      <c r="P197" t="s">
        <v>26</v>
      </c>
      <c r="R197">
        <v>165700</v>
      </c>
    </row>
    <row r="198" spans="1:18" ht="15" customHeight="1" x14ac:dyDescent="0.3">
      <c r="A198" t="s">
        <v>427</v>
      </c>
      <c r="B198" t="s">
        <v>48</v>
      </c>
      <c r="C198">
        <v>5</v>
      </c>
      <c r="D198" t="s">
        <v>428</v>
      </c>
      <c r="E198" t="s">
        <v>38</v>
      </c>
      <c r="F198" t="s">
        <v>22</v>
      </c>
      <c r="G198" t="s">
        <v>91</v>
      </c>
      <c r="H198" t="s">
        <v>24</v>
      </c>
      <c r="I198">
        <v>8</v>
      </c>
      <c r="J198">
        <v>1499</v>
      </c>
      <c r="K198">
        <v>11992</v>
      </c>
      <c r="L198">
        <v>10</v>
      </c>
      <c r="M198">
        <v>10792.8</v>
      </c>
      <c r="N198">
        <v>5</v>
      </c>
      <c r="O198" t="s">
        <v>25</v>
      </c>
      <c r="P198" t="s">
        <v>34</v>
      </c>
      <c r="R198">
        <v>9200</v>
      </c>
    </row>
    <row r="199" spans="1:18" ht="15" customHeight="1" x14ac:dyDescent="0.3">
      <c r="A199" t="s">
        <v>429</v>
      </c>
      <c r="B199" t="s">
        <v>55</v>
      </c>
      <c r="C199">
        <v>6</v>
      </c>
      <c r="D199" t="s">
        <v>374</v>
      </c>
      <c r="E199" t="s">
        <v>30</v>
      </c>
      <c r="F199" t="s">
        <v>44</v>
      </c>
      <c r="G199" t="s">
        <v>125</v>
      </c>
      <c r="H199" t="s">
        <v>33</v>
      </c>
      <c r="I199">
        <v>2</v>
      </c>
      <c r="J199">
        <v>4999</v>
      </c>
      <c r="K199">
        <v>9998</v>
      </c>
      <c r="L199">
        <v>10</v>
      </c>
      <c r="M199">
        <v>8998.2000000000007</v>
      </c>
      <c r="N199">
        <v>3</v>
      </c>
      <c r="O199" t="s">
        <v>25</v>
      </c>
      <c r="P199" t="s">
        <v>34</v>
      </c>
      <c r="R199">
        <v>10100</v>
      </c>
    </row>
    <row r="200" spans="1:18" ht="15" customHeight="1" x14ac:dyDescent="0.3">
      <c r="A200" t="s">
        <v>430</v>
      </c>
      <c r="B200" t="s">
        <v>63</v>
      </c>
      <c r="C200">
        <v>7</v>
      </c>
      <c r="D200" t="s">
        <v>431</v>
      </c>
      <c r="E200" t="s">
        <v>21</v>
      </c>
      <c r="F200" t="s">
        <v>44</v>
      </c>
      <c r="G200" t="s">
        <v>85</v>
      </c>
      <c r="H200" t="s">
        <v>40</v>
      </c>
      <c r="I200">
        <v>10</v>
      </c>
      <c r="J200">
        <v>999</v>
      </c>
      <c r="K200">
        <v>9990</v>
      </c>
      <c r="L200">
        <v>5</v>
      </c>
      <c r="M200">
        <v>9490.5</v>
      </c>
      <c r="N200">
        <v>3</v>
      </c>
      <c r="O200" t="s">
        <v>25</v>
      </c>
      <c r="P200" t="s">
        <v>26</v>
      </c>
      <c r="R200">
        <v>10200</v>
      </c>
    </row>
    <row r="201" spans="1:18" ht="15" customHeight="1" x14ac:dyDescent="0.3">
      <c r="A201" t="s">
        <v>432</v>
      </c>
      <c r="B201" t="s">
        <v>67</v>
      </c>
      <c r="C201">
        <v>8</v>
      </c>
      <c r="D201" t="s">
        <v>433</v>
      </c>
      <c r="E201" t="s">
        <v>65</v>
      </c>
      <c r="F201" t="s">
        <v>44</v>
      </c>
      <c r="G201" t="s">
        <v>58</v>
      </c>
      <c r="H201" t="s">
        <v>33</v>
      </c>
      <c r="I201">
        <v>13</v>
      </c>
      <c r="J201">
        <v>24999</v>
      </c>
      <c r="K201">
        <v>324987</v>
      </c>
      <c r="L201">
        <v>5</v>
      </c>
      <c r="M201">
        <v>308737.65000000002</v>
      </c>
      <c r="N201">
        <v>4</v>
      </c>
      <c r="O201" t="s">
        <v>25</v>
      </c>
      <c r="P201" t="s">
        <v>34</v>
      </c>
      <c r="R201">
        <v>343300</v>
      </c>
    </row>
    <row r="202" spans="1:18" ht="15" customHeight="1" x14ac:dyDescent="0.3">
      <c r="A202" t="s">
        <v>434</v>
      </c>
      <c r="B202" t="s">
        <v>70</v>
      </c>
      <c r="C202">
        <v>9</v>
      </c>
      <c r="D202" t="s">
        <v>435</v>
      </c>
      <c r="E202" t="s">
        <v>57</v>
      </c>
      <c r="F202" t="s">
        <v>51</v>
      </c>
      <c r="G202" t="s">
        <v>275</v>
      </c>
      <c r="H202" t="s">
        <v>24</v>
      </c>
      <c r="I202">
        <v>15</v>
      </c>
      <c r="J202">
        <v>12999</v>
      </c>
      <c r="K202">
        <v>194985</v>
      </c>
      <c r="L202">
        <v>0</v>
      </c>
      <c r="M202">
        <v>194985</v>
      </c>
      <c r="N202">
        <v>1</v>
      </c>
      <c r="O202" t="s">
        <v>88</v>
      </c>
      <c r="P202" t="s">
        <v>34</v>
      </c>
      <c r="R202">
        <v>177600</v>
      </c>
    </row>
    <row r="203" spans="1:18" ht="15" customHeight="1" x14ac:dyDescent="0.3">
      <c r="A203" t="s">
        <v>436</v>
      </c>
      <c r="B203" t="s">
        <v>75</v>
      </c>
      <c r="C203">
        <v>10</v>
      </c>
      <c r="D203" t="s">
        <v>437</v>
      </c>
      <c r="E203" t="s">
        <v>57</v>
      </c>
      <c r="F203" t="s">
        <v>31</v>
      </c>
      <c r="G203" t="s">
        <v>32</v>
      </c>
      <c r="H203" t="s">
        <v>33</v>
      </c>
      <c r="I203">
        <v>8</v>
      </c>
      <c r="J203">
        <v>499</v>
      </c>
      <c r="K203">
        <v>3992</v>
      </c>
      <c r="L203">
        <v>5</v>
      </c>
      <c r="M203">
        <v>3792.4</v>
      </c>
      <c r="N203">
        <v>10</v>
      </c>
      <c r="O203" t="s">
        <v>25</v>
      </c>
      <c r="P203" t="s">
        <v>34</v>
      </c>
      <c r="R203">
        <v>3700</v>
      </c>
    </row>
    <row r="204" spans="1:18" ht="15" customHeight="1" x14ac:dyDescent="0.3">
      <c r="A204" t="s">
        <v>438</v>
      </c>
      <c r="B204" t="s">
        <v>79</v>
      </c>
      <c r="C204">
        <v>11</v>
      </c>
      <c r="D204" t="s">
        <v>439</v>
      </c>
      <c r="E204" t="s">
        <v>38</v>
      </c>
      <c r="F204" t="s">
        <v>72</v>
      </c>
      <c r="G204" t="s">
        <v>73</v>
      </c>
      <c r="H204" t="s">
        <v>40</v>
      </c>
      <c r="I204">
        <v>10</v>
      </c>
      <c r="J204">
        <v>299</v>
      </c>
      <c r="K204">
        <v>2990</v>
      </c>
      <c r="L204">
        <v>20</v>
      </c>
      <c r="M204">
        <v>2392</v>
      </c>
      <c r="N204">
        <v>8</v>
      </c>
      <c r="O204" t="s">
        <v>25</v>
      </c>
      <c r="P204" t="s">
        <v>122</v>
      </c>
      <c r="R204">
        <v>2600</v>
      </c>
    </row>
    <row r="205" spans="1:18" ht="15" customHeight="1" x14ac:dyDescent="0.3">
      <c r="A205" t="s">
        <v>440</v>
      </c>
      <c r="B205" t="s">
        <v>83</v>
      </c>
      <c r="C205">
        <v>12</v>
      </c>
      <c r="D205" t="s">
        <v>441</v>
      </c>
      <c r="E205" t="s">
        <v>50</v>
      </c>
      <c r="F205" t="s">
        <v>44</v>
      </c>
      <c r="G205" t="s">
        <v>85</v>
      </c>
      <c r="H205" t="s">
        <v>33</v>
      </c>
      <c r="I205">
        <v>2</v>
      </c>
      <c r="J205">
        <v>299</v>
      </c>
      <c r="K205">
        <v>598</v>
      </c>
      <c r="L205">
        <v>15</v>
      </c>
      <c r="M205">
        <v>508.3</v>
      </c>
      <c r="N205">
        <v>6</v>
      </c>
      <c r="O205" t="s">
        <v>59</v>
      </c>
      <c r="P205" t="s">
        <v>34</v>
      </c>
      <c r="Q205" t="s">
        <v>218</v>
      </c>
      <c r="R205">
        <v>600</v>
      </c>
    </row>
    <row r="206" spans="1:18" ht="15" customHeight="1" x14ac:dyDescent="0.3">
      <c r="A206" t="s">
        <v>442</v>
      </c>
      <c r="B206" t="s">
        <v>19</v>
      </c>
      <c r="C206">
        <v>1</v>
      </c>
      <c r="D206" t="s">
        <v>443</v>
      </c>
      <c r="E206" t="s">
        <v>21</v>
      </c>
      <c r="F206" t="s">
        <v>72</v>
      </c>
      <c r="G206" t="s">
        <v>270</v>
      </c>
      <c r="H206" t="s">
        <v>40</v>
      </c>
      <c r="I206">
        <v>3</v>
      </c>
      <c r="J206">
        <v>799</v>
      </c>
      <c r="K206">
        <v>2397</v>
      </c>
      <c r="L206">
        <v>15</v>
      </c>
      <c r="M206">
        <v>2037.45</v>
      </c>
      <c r="N206">
        <v>6</v>
      </c>
      <c r="O206" t="s">
        <v>46</v>
      </c>
      <c r="P206" t="s">
        <v>26</v>
      </c>
      <c r="R206">
        <v>2000</v>
      </c>
    </row>
    <row r="207" spans="1:18" ht="15" customHeight="1" x14ac:dyDescent="0.3">
      <c r="A207" t="s">
        <v>444</v>
      </c>
      <c r="B207" t="s">
        <v>28</v>
      </c>
      <c r="C207">
        <v>2</v>
      </c>
      <c r="D207" t="s">
        <v>405</v>
      </c>
      <c r="E207" t="s">
        <v>94</v>
      </c>
      <c r="F207" t="s">
        <v>72</v>
      </c>
      <c r="G207" t="s">
        <v>270</v>
      </c>
      <c r="H207" t="s">
        <v>33</v>
      </c>
      <c r="I207">
        <v>14</v>
      </c>
      <c r="J207">
        <v>1999</v>
      </c>
      <c r="K207">
        <v>27986</v>
      </c>
      <c r="L207">
        <v>0</v>
      </c>
      <c r="M207">
        <v>27986</v>
      </c>
      <c r="N207">
        <v>3</v>
      </c>
      <c r="O207" t="s">
        <v>46</v>
      </c>
      <c r="P207" t="s">
        <v>26</v>
      </c>
      <c r="R207">
        <v>28200</v>
      </c>
    </row>
    <row r="208" spans="1:18" ht="15" customHeight="1" x14ac:dyDescent="0.3">
      <c r="A208" t="s">
        <v>445</v>
      </c>
      <c r="B208" t="s">
        <v>36</v>
      </c>
      <c r="C208">
        <v>3</v>
      </c>
      <c r="D208" t="s">
        <v>446</v>
      </c>
      <c r="E208" t="s">
        <v>30</v>
      </c>
      <c r="F208" t="s">
        <v>31</v>
      </c>
      <c r="G208" t="s">
        <v>251</v>
      </c>
      <c r="H208" t="s">
        <v>40</v>
      </c>
      <c r="I208">
        <v>8</v>
      </c>
      <c r="J208">
        <v>24999</v>
      </c>
      <c r="K208">
        <v>199992</v>
      </c>
      <c r="L208">
        <v>20</v>
      </c>
      <c r="M208">
        <v>159993.60000000001</v>
      </c>
      <c r="N208">
        <v>7</v>
      </c>
      <c r="O208" t="s">
        <v>25</v>
      </c>
      <c r="P208" t="s">
        <v>53</v>
      </c>
      <c r="R208">
        <v>147900</v>
      </c>
    </row>
    <row r="209" spans="1:18" ht="15" customHeight="1" x14ac:dyDescent="0.3">
      <c r="A209" t="s">
        <v>447</v>
      </c>
      <c r="B209" t="s">
        <v>42</v>
      </c>
      <c r="C209">
        <v>4</v>
      </c>
      <c r="D209" t="s">
        <v>448</v>
      </c>
      <c r="E209" t="s">
        <v>50</v>
      </c>
      <c r="F209" t="s">
        <v>31</v>
      </c>
      <c r="G209" t="s">
        <v>134</v>
      </c>
      <c r="H209" t="s">
        <v>33</v>
      </c>
      <c r="I209">
        <v>13</v>
      </c>
      <c r="J209">
        <v>499</v>
      </c>
      <c r="K209">
        <v>6487</v>
      </c>
      <c r="L209">
        <v>0</v>
      </c>
      <c r="M209">
        <v>6487</v>
      </c>
      <c r="N209">
        <v>7</v>
      </c>
      <c r="O209" t="s">
        <v>25</v>
      </c>
      <c r="P209" t="s">
        <v>60</v>
      </c>
      <c r="R209">
        <v>6000</v>
      </c>
    </row>
    <row r="210" spans="1:18" ht="15" customHeight="1" x14ac:dyDescent="0.3">
      <c r="A210" t="s">
        <v>449</v>
      </c>
      <c r="B210" t="s">
        <v>48</v>
      </c>
      <c r="C210">
        <v>5</v>
      </c>
      <c r="D210" t="s">
        <v>331</v>
      </c>
      <c r="E210" t="s">
        <v>30</v>
      </c>
      <c r="F210" t="s">
        <v>22</v>
      </c>
      <c r="G210" t="s">
        <v>121</v>
      </c>
      <c r="H210" t="s">
        <v>40</v>
      </c>
      <c r="I210">
        <v>10</v>
      </c>
      <c r="J210">
        <v>24999</v>
      </c>
      <c r="K210">
        <v>249990</v>
      </c>
      <c r="L210">
        <v>0</v>
      </c>
      <c r="M210">
        <v>249990</v>
      </c>
      <c r="N210">
        <v>4</v>
      </c>
      <c r="O210" t="s">
        <v>59</v>
      </c>
      <c r="P210" t="s">
        <v>26</v>
      </c>
      <c r="Q210" t="s">
        <v>149</v>
      </c>
      <c r="R210">
        <v>230100</v>
      </c>
    </row>
    <row r="211" spans="1:18" ht="15" customHeight="1" x14ac:dyDescent="0.3">
      <c r="A211" t="s">
        <v>450</v>
      </c>
      <c r="B211" t="s">
        <v>55</v>
      </c>
      <c r="C211">
        <v>6</v>
      </c>
      <c r="D211" t="s">
        <v>451</v>
      </c>
      <c r="E211" t="s">
        <v>21</v>
      </c>
      <c r="F211" t="s">
        <v>22</v>
      </c>
      <c r="G211" t="s">
        <v>39</v>
      </c>
      <c r="H211" t="s">
        <v>24</v>
      </c>
      <c r="I211">
        <v>14</v>
      </c>
      <c r="J211">
        <v>12999</v>
      </c>
      <c r="K211">
        <v>181986</v>
      </c>
      <c r="L211">
        <v>10</v>
      </c>
      <c r="M211">
        <v>163787.4</v>
      </c>
      <c r="N211">
        <v>10</v>
      </c>
      <c r="O211" t="s">
        <v>25</v>
      </c>
      <c r="P211" t="s">
        <v>122</v>
      </c>
      <c r="R211">
        <v>150900</v>
      </c>
    </row>
    <row r="212" spans="1:18" ht="15" customHeight="1" x14ac:dyDescent="0.3">
      <c r="A212" t="s">
        <v>452</v>
      </c>
      <c r="B212" t="s">
        <v>63</v>
      </c>
      <c r="C212">
        <v>7</v>
      </c>
      <c r="D212" t="s">
        <v>453</v>
      </c>
      <c r="E212" t="s">
        <v>38</v>
      </c>
      <c r="F212" t="s">
        <v>51</v>
      </c>
      <c r="G212" t="s">
        <v>95</v>
      </c>
      <c r="H212" t="s">
        <v>40</v>
      </c>
      <c r="I212">
        <v>5</v>
      </c>
      <c r="J212">
        <v>299</v>
      </c>
      <c r="K212">
        <v>1495</v>
      </c>
      <c r="L212">
        <v>20</v>
      </c>
      <c r="M212">
        <v>1196</v>
      </c>
      <c r="N212">
        <v>10</v>
      </c>
      <c r="O212" t="s">
        <v>88</v>
      </c>
      <c r="P212" t="s">
        <v>53</v>
      </c>
      <c r="R212">
        <v>1200</v>
      </c>
    </row>
    <row r="213" spans="1:18" ht="15" customHeight="1" x14ac:dyDescent="0.3">
      <c r="A213" t="s">
        <v>454</v>
      </c>
      <c r="B213" t="s">
        <v>67</v>
      </c>
      <c r="C213">
        <v>8</v>
      </c>
      <c r="D213" t="s">
        <v>455</v>
      </c>
      <c r="E213" t="s">
        <v>30</v>
      </c>
      <c r="F213" t="s">
        <v>51</v>
      </c>
      <c r="G213" t="s">
        <v>275</v>
      </c>
      <c r="H213" t="s">
        <v>40</v>
      </c>
      <c r="I213">
        <v>11</v>
      </c>
      <c r="J213">
        <v>24999</v>
      </c>
      <c r="K213">
        <v>274989</v>
      </c>
      <c r="L213">
        <v>15</v>
      </c>
      <c r="M213">
        <v>233740.65</v>
      </c>
      <c r="N213">
        <v>9</v>
      </c>
      <c r="O213" t="s">
        <v>25</v>
      </c>
      <c r="P213" t="s">
        <v>26</v>
      </c>
      <c r="R213">
        <v>227300</v>
      </c>
    </row>
    <row r="214" spans="1:18" ht="15" customHeight="1" x14ac:dyDescent="0.3">
      <c r="A214" t="s">
        <v>456</v>
      </c>
      <c r="B214" t="s">
        <v>70</v>
      </c>
      <c r="C214">
        <v>9</v>
      </c>
      <c r="D214" t="s">
        <v>457</v>
      </c>
      <c r="E214" t="s">
        <v>65</v>
      </c>
      <c r="F214" t="s">
        <v>72</v>
      </c>
      <c r="G214" t="s">
        <v>73</v>
      </c>
      <c r="H214" t="s">
        <v>24</v>
      </c>
      <c r="I214">
        <v>14</v>
      </c>
      <c r="J214">
        <v>999</v>
      </c>
      <c r="K214">
        <v>13986</v>
      </c>
      <c r="L214">
        <v>10</v>
      </c>
      <c r="M214">
        <v>12587.4</v>
      </c>
      <c r="N214">
        <v>3</v>
      </c>
      <c r="O214" t="s">
        <v>59</v>
      </c>
      <c r="P214" t="s">
        <v>60</v>
      </c>
      <c r="Q214" t="s">
        <v>61</v>
      </c>
      <c r="R214">
        <v>12300</v>
      </c>
    </row>
    <row r="215" spans="1:18" ht="15" customHeight="1" x14ac:dyDescent="0.3">
      <c r="A215" t="s">
        <v>458</v>
      </c>
      <c r="B215" t="s">
        <v>75</v>
      </c>
      <c r="C215">
        <v>10</v>
      </c>
      <c r="D215" t="s">
        <v>317</v>
      </c>
      <c r="E215" t="s">
        <v>94</v>
      </c>
      <c r="F215" t="s">
        <v>51</v>
      </c>
      <c r="G215" t="s">
        <v>157</v>
      </c>
      <c r="H215" t="s">
        <v>40</v>
      </c>
      <c r="I215">
        <v>4</v>
      </c>
      <c r="J215">
        <v>1499</v>
      </c>
      <c r="K215">
        <v>5996</v>
      </c>
      <c r="L215">
        <v>5</v>
      </c>
      <c r="M215">
        <v>5696.2</v>
      </c>
      <c r="N215">
        <v>6</v>
      </c>
      <c r="O215" t="s">
        <v>25</v>
      </c>
      <c r="P215" t="s">
        <v>26</v>
      </c>
      <c r="R215">
        <v>6300</v>
      </c>
    </row>
    <row r="216" spans="1:18" ht="15" customHeight="1" x14ac:dyDescent="0.3">
      <c r="A216" t="s">
        <v>459</v>
      </c>
      <c r="B216" t="s">
        <v>79</v>
      </c>
      <c r="C216">
        <v>11</v>
      </c>
      <c r="D216" t="s">
        <v>80</v>
      </c>
      <c r="E216" t="s">
        <v>30</v>
      </c>
      <c r="F216" t="s">
        <v>51</v>
      </c>
      <c r="G216" t="s">
        <v>95</v>
      </c>
      <c r="H216" t="s">
        <v>40</v>
      </c>
      <c r="I216">
        <v>7</v>
      </c>
      <c r="J216">
        <v>24999</v>
      </c>
      <c r="K216">
        <v>174993</v>
      </c>
      <c r="L216">
        <v>20</v>
      </c>
      <c r="M216">
        <v>139994.4</v>
      </c>
      <c r="N216">
        <v>10</v>
      </c>
      <c r="O216" t="s">
        <v>25</v>
      </c>
      <c r="P216" t="s">
        <v>60</v>
      </c>
      <c r="R216">
        <v>126900</v>
      </c>
    </row>
    <row r="217" spans="1:18" ht="15" customHeight="1" x14ac:dyDescent="0.3">
      <c r="A217" t="s">
        <v>460</v>
      </c>
      <c r="B217" t="s">
        <v>83</v>
      </c>
      <c r="C217">
        <v>12</v>
      </c>
      <c r="D217" t="s">
        <v>84</v>
      </c>
      <c r="E217" t="s">
        <v>50</v>
      </c>
      <c r="F217" t="s">
        <v>51</v>
      </c>
      <c r="G217" t="s">
        <v>157</v>
      </c>
      <c r="H217" t="s">
        <v>40</v>
      </c>
      <c r="I217">
        <v>4</v>
      </c>
      <c r="J217">
        <v>1999</v>
      </c>
      <c r="K217">
        <v>7996</v>
      </c>
      <c r="L217">
        <v>10</v>
      </c>
      <c r="M217">
        <v>7196.4</v>
      </c>
      <c r="N217">
        <v>1</v>
      </c>
      <c r="O217" t="s">
        <v>25</v>
      </c>
      <c r="P217" t="s">
        <v>53</v>
      </c>
      <c r="R217">
        <v>8200</v>
      </c>
    </row>
    <row r="218" spans="1:18" ht="15" customHeight="1" x14ac:dyDescent="0.3">
      <c r="A218" t="s">
        <v>461</v>
      </c>
      <c r="B218" t="s">
        <v>19</v>
      </c>
      <c r="C218">
        <v>1</v>
      </c>
      <c r="D218" t="s">
        <v>403</v>
      </c>
      <c r="E218" t="s">
        <v>50</v>
      </c>
      <c r="F218" t="s">
        <v>72</v>
      </c>
      <c r="G218" t="s">
        <v>73</v>
      </c>
      <c r="H218" t="s">
        <v>40</v>
      </c>
      <c r="I218">
        <v>15</v>
      </c>
      <c r="J218">
        <v>999</v>
      </c>
      <c r="K218">
        <v>14985</v>
      </c>
      <c r="L218">
        <v>20</v>
      </c>
      <c r="M218">
        <v>11988</v>
      </c>
      <c r="N218">
        <v>6</v>
      </c>
      <c r="O218" t="s">
        <v>59</v>
      </c>
      <c r="P218" t="s">
        <v>26</v>
      </c>
      <c r="Q218" t="s">
        <v>149</v>
      </c>
      <c r="R218">
        <v>12100</v>
      </c>
    </row>
    <row r="219" spans="1:18" ht="15" customHeight="1" x14ac:dyDescent="0.3">
      <c r="A219" t="s">
        <v>462</v>
      </c>
      <c r="B219" t="s">
        <v>28</v>
      </c>
      <c r="C219">
        <v>2</v>
      </c>
      <c r="D219" t="s">
        <v>463</v>
      </c>
      <c r="E219" t="s">
        <v>57</v>
      </c>
      <c r="F219" t="s">
        <v>44</v>
      </c>
      <c r="G219" t="s">
        <v>171</v>
      </c>
      <c r="H219" t="s">
        <v>33</v>
      </c>
      <c r="I219">
        <v>15</v>
      </c>
      <c r="J219">
        <v>4999</v>
      </c>
      <c r="K219">
        <v>74985</v>
      </c>
      <c r="L219">
        <v>15</v>
      </c>
      <c r="M219">
        <v>63737.25</v>
      </c>
      <c r="N219">
        <v>2</v>
      </c>
      <c r="O219" t="s">
        <v>59</v>
      </c>
      <c r="P219" t="s">
        <v>26</v>
      </c>
      <c r="Q219" t="s">
        <v>188</v>
      </c>
      <c r="R219">
        <v>71700</v>
      </c>
    </row>
    <row r="220" spans="1:18" ht="15" customHeight="1" x14ac:dyDescent="0.3">
      <c r="A220" t="s">
        <v>464</v>
      </c>
      <c r="B220" t="s">
        <v>36</v>
      </c>
      <c r="C220">
        <v>3</v>
      </c>
      <c r="D220" t="s">
        <v>388</v>
      </c>
      <c r="E220" t="s">
        <v>30</v>
      </c>
      <c r="F220" t="s">
        <v>44</v>
      </c>
      <c r="G220" t="s">
        <v>58</v>
      </c>
      <c r="H220" t="s">
        <v>33</v>
      </c>
      <c r="I220">
        <v>14</v>
      </c>
      <c r="J220">
        <v>999</v>
      </c>
      <c r="K220">
        <v>13986</v>
      </c>
      <c r="L220">
        <v>5</v>
      </c>
      <c r="M220">
        <v>13286.7</v>
      </c>
      <c r="N220">
        <v>1</v>
      </c>
      <c r="O220" t="s">
        <v>25</v>
      </c>
      <c r="P220" t="s">
        <v>34</v>
      </c>
      <c r="R220">
        <v>13600</v>
      </c>
    </row>
    <row r="221" spans="1:18" ht="15" customHeight="1" x14ac:dyDescent="0.3">
      <c r="A221" t="s">
        <v>465</v>
      </c>
      <c r="B221" t="s">
        <v>42</v>
      </c>
      <c r="C221">
        <v>4</v>
      </c>
      <c r="D221" t="s">
        <v>224</v>
      </c>
      <c r="E221" t="s">
        <v>50</v>
      </c>
      <c r="F221" t="s">
        <v>44</v>
      </c>
      <c r="G221" t="s">
        <v>125</v>
      </c>
      <c r="H221" t="s">
        <v>40</v>
      </c>
      <c r="I221">
        <v>4</v>
      </c>
      <c r="J221">
        <v>2999</v>
      </c>
      <c r="K221">
        <v>11996</v>
      </c>
      <c r="L221">
        <v>20</v>
      </c>
      <c r="M221">
        <v>9596.7999999999993</v>
      </c>
      <c r="N221">
        <v>4</v>
      </c>
      <c r="O221" t="s">
        <v>25</v>
      </c>
      <c r="P221" t="s">
        <v>122</v>
      </c>
      <c r="R221">
        <v>8900</v>
      </c>
    </row>
    <row r="222" spans="1:18" ht="15" customHeight="1" x14ac:dyDescent="0.3">
      <c r="A222" t="s">
        <v>466</v>
      </c>
      <c r="B222" t="s">
        <v>48</v>
      </c>
      <c r="C222">
        <v>5</v>
      </c>
      <c r="D222" t="s">
        <v>467</v>
      </c>
      <c r="E222" t="s">
        <v>65</v>
      </c>
      <c r="F222" t="s">
        <v>72</v>
      </c>
      <c r="G222" t="s">
        <v>103</v>
      </c>
      <c r="H222" t="s">
        <v>24</v>
      </c>
      <c r="I222">
        <v>12</v>
      </c>
      <c r="J222">
        <v>1999</v>
      </c>
      <c r="K222">
        <v>23988</v>
      </c>
      <c r="L222">
        <v>5</v>
      </c>
      <c r="M222">
        <v>22788.6</v>
      </c>
      <c r="N222">
        <v>3</v>
      </c>
      <c r="O222" t="s">
        <v>59</v>
      </c>
      <c r="P222" t="s">
        <v>26</v>
      </c>
      <c r="Q222" t="s">
        <v>195</v>
      </c>
      <c r="R222">
        <v>25600</v>
      </c>
    </row>
    <row r="223" spans="1:18" ht="15" customHeight="1" x14ac:dyDescent="0.3">
      <c r="A223" t="s">
        <v>468</v>
      </c>
      <c r="B223" t="s">
        <v>55</v>
      </c>
      <c r="C223">
        <v>6</v>
      </c>
      <c r="D223" t="s">
        <v>451</v>
      </c>
      <c r="E223" t="s">
        <v>30</v>
      </c>
      <c r="F223" t="s">
        <v>22</v>
      </c>
      <c r="G223" t="s">
        <v>121</v>
      </c>
      <c r="H223" t="s">
        <v>24</v>
      </c>
      <c r="I223">
        <v>14</v>
      </c>
      <c r="J223">
        <v>24999</v>
      </c>
      <c r="K223">
        <v>349986</v>
      </c>
      <c r="L223">
        <v>0</v>
      </c>
      <c r="M223">
        <v>349986</v>
      </c>
      <c r="N223">
        <v>1</v>
      </c>
      <c r="O223" t="s">
        <v>25</v>
      </c>
      <c r="P223" t="s">
        <v>53</v>
      </c>
      <c r="R223">
        <v>304600</v>
      </c>
    </row>
    <row r="224" spans="1:18" ht="15" customHeight="1" x14ac:dyDescent="0.3">
      <c r="A224" t="s">
        <v>469</v>
      </c>
      <c r="B224" t="s">
        <v>63</v>
      </c>
      <c r="C224">
        <v>7</v>
      </c>
      <c r="D224" t="s">
        <v>209</v>
      </c>
      <c r="E224" t="s">
        <v>65</v>
      </c>
      <c r="F224" t="s">
        <v>22</v>
      </c>
      <c r="G224" t="s">
        <v>39</v>
      </c>
      <c r="H224" t="s">
        <v>40</v>
      </c>
      <c r="I224">
        <v>1</v>
      </c>
      <c r="J224">
        <v>12999</v>
      </c>
      <c r="K224">
        <v>12999</v>
      </c>
      <c r="L224">
        <v>20</v>
      </c>
      <c r="M224">
        <v>10399.200000000001</v>
      </c>
      <c r="N224">
        <v>8</v>
      </c>
      <c r="O224" t="s">
        <v>25</v>
      </c>
      <c r="P224" t="s">
        <v>60</v>
      </c>
      <c r="R224">
        <v>8900</v>
      </c>
    </row>
    <row r="225" spans="1:18" ht="15" customHeight="1" x14ac:dyDescent="0.3">
      <c r="A225" t="s">
        <v>470</v>
      </c>
      <c r="B225" t="s">
        <v>67</v>
      </c>
      <c r="C225">
        <v>8</v>
      </c>
      <c r="D225" t="s">
        <v>105</v>
      </c>
      <c r="E225" t="s">
        <v>30</v>
      </c>
      <c r="F225" t="s">
        <v>72</v>
      </c>
      <c r="G225" t="s">
        <v>270</v>
      </c>
      <c r="H225" t="s">
        <v>33</v>
      </c>
      <c r="I225">
        <v>12</v>
      </c>
      <c r="J225">
        <v>1499</v>
      </c>
      <c r="K225">
        <v>17988</v>
      </c>
      <c r="L225">
        <v>20</v>
      </c>
      <c r="M225">
        <v>14390.4</v>
      </c>
      <c r="N225">
        <v>5</v>
      </c>
      <c r="O225" t="s">
        <v>25</v>
      </c>
      <c r="P225" t="s">
        <v>26</v>
      </c>
      <c r="R225">
        <v>15700</v>
      </c>
    </row>
    <row r="226" spans="1:18" ht="15" customHeight="1" x14ac:dyDescent="0.3">
      <c r="A226" t="s">
        <v>471</v>
      </c>
      <c r="B226" t="s">
        <v>70</v>
      </c>
      <c r="C226">
        <v>9</v>
      </c>
      <c r="D226" t="s">
        <v>396</v>
      </c>
      <c r="E226" t="s">
        <v>94</v>
      </c>
      <c r="F226" t="s">
        <v>22</v>
      </c>
      <c r="G226" t="s">
        <v>23</v>
      </c>
      <c r="H226" t="s">
        <v>24</v>
      </c>
      <c r="I226">
        <v>4</v>
      </c>
      <c r="J226">
        <v>12999</v>
      </c>
      <c r="K226">
        <v>51996</v>
      </c>
      <c r="L226">
        <v>20</v>
      </c>
      <c r="M226">
        <v>41596.800000000003</v>
      </c>
      <c r="N226">
        <v>5</v>
      </c>
      <c r="O226" t="s">
        <v>59</v>
      </c>
      <c r="P226" t="s">
        <v>122</v>
      </c>
      <c r="Q226" t="s">
        <v>149</v>
      </c>
      <c r="R226">
        <v>36300</v>
      </c>
    </row>
    <row r="227" spans="1:18" ht="15" customHeight="1" x14ac:dyDescent="0.3">
      <c r="A227" t="s">
        <v>472</v>
      </c>
      <c r="B227" t="s">
        <v>75</v>
      </c>
      <c r="C227">
        <v>10</v>
      </c>
      <c r="D227" t="s">
        <v>419</v>
      </c>
      <c r="E227" t="s">
        <v>50</v>
      </c>
      <c r="F227" t="s">
        <v>72</v>
      </c>
      <c r="G227" t="s">
        <v>81</v>
      </c>
      <c r="H227" t="s">
        <v>33</v>
      </c>
      <c r="I227">
        <v>4</v>
      </c>
      <c r="J227">
        <v>1499</v>
      </c>
      <c r="K227">
        <v>5996</v>
      </c>
      <c r="L227">
        <v>0</v>
      </c>
      <c r="M227">
        <v>5996</v>
      </c>
      <c r="N227">
        <v>1</v>
      </c>
      <c r="O227" t="s">
        <v>25</v>
      </c>
      <c r="P227" t="s">
        <v>26</v>
      </c>
      <c r="R227">
        <v>5800</v>
      </c>
    </row>
    <row r="228" spans="1:18" ht="15" customHeight="1" x14ac:dyDescent="0.3">
      <c r="A228" t="s">
        <v>473</v>
      </c>
      <c r="B228" t="s">
        <v>79</v>
      </c>
      <c r="C228">
        <v>11</v>
      </c>
      <c r="D228" t="s">
        <v>142</v>
      </c>
      <c r="E228" t="s">
        <v>94</v>
      </c>
      <c r="F228" t="s">
        <v>22</v>
      </c>
      <c r="G228" t="s">
        <v>23</v>
      </c>
      <c r="H228" t="s">
        <v>24</v>
      </c>
      <c r="I228">
        <v>8</v>
      </c>
      <c r="J228">
        <v>2999</v>
      </c>
      <c r="K228">
        <v>23992</v>
      </c>
      <c r="L228">
        <v>10</v>
      </c>
      <c r="M228">
        <v>21592.799999999999</v>
      </c>
      <c r="N228">
        <v>10</v>
      </c>
      <c r="O228" t="s">
        <v>46</v>
      </c>
      <c r="P228" t="s">
        <v>60</v>
      </c>
      <c r="R228">
        <v>24200</v>
      </c>
    </row>
    <row r="229" spans="1:18" ht="15" customHeight="1" x14ac:dyDescent="0.3">
      <c r="A229" t="s">
        <v>474</v>
      </c>
      <c r="B229" t="s">
        <v>83</v>
      </c>
      <c r="C229">
        <v>12</v>
      </c>
      <c r="D229" t="s">
        <v>475</v>
      </c>
      <c r="E229" t="s">
        <v>65</v>
      </c>
      <c r="F229" t="s">
        <v>31</v>
      </c>
      <c r="G229" t="s">
        <v>32</v>
      </c>
      <c r="H229" t="s">
        <v>40</v>
      </c>
      <c r="I229">
        <v>1</v>
      </c>
      <c r="J229">
        <v>499</v>
      </c>
      <c r="K229">
        <v>499</v>
      </c>
      <c r="L229">
        <v>10</v>
      </c>
      <c r="M229">
        <v>449.1</v>
      </c>
      <c r="N229">
        <v>9</v>
      </c>
      <c r="O229" t="s">
        <v>25</v>
      </c>
      <c r="P229" t="s">
        <v>60</v>
      </c>
      <c r="R229">
        <v>400</v>
      </c>
    </row>
    <row r="230" spans="1:18" ht="15" customHeight="1" x14ac:dyDescent="0.3">
      <c r="A230" t="s">
        <v>476</v>
      </c>
      <c r="B230" t="s">
        <v>19</v>
      </c>
      <c r="C230">
        <v>1</v>
      </c>
      <c r="D230" t="s">
        <v>384</v>
      </c>
      <c r="E230" t="s">
        <v>50</v>
      </c>
      <c r="F230" t="s">
        <v>44</v>
      </c>
      <c r="G230" t="s">
        <v>85</v>
      </c>
      <c r="H230" t="s">
        <v>33</v>
      </c>
      <c r="I230">
        <v>3</v>
      </c>
      <c r="J230">
        <v>2999</v>
      </c>
      <c r="K230">
        <v>8997</v>
      </c>
      <c r="L230">
        <v>0</v>
      </c>
      <c r="M230">
        <v>8997</v>
      </c>
      <c r="N230">
        <v>5</v>
      </c>
      <c r="O230" t="s">
        <v>25</v>
      </c>
      <c r="P230" t="s">
        <v>53</v>
      </c>
      <c r="R230">
        <v>9200</v>
      </c>
    </row>
    <row r="231" spans="1:18" ht="15" customHeight="1" x14ac:dyDescent="0.3">
      <c r="A231" t="s">
        <v>477</v>
      </c>
      <c r="B231" t="s">
        <v>28</v>
      </c>
      <c r="C231">
        <v>2</v>
      </c>
      <c r="D231" t="s">
        <v>478</v>
      </c>
      <c r="E231" t="s">
        <v>57</v>
      </c>
      <c r="F231" t="s">
        <v>72</v>
      </c>
      <c r="G231" t="s">
        <v>81</v>
      </c>
      <c r="H231" t="s">
        <v>40</v>
      </c>
      <c r="I231">
        <v>13</v>
      </c>
      <c r="J231">
        <v>799</v>
      </c>
      <c r="K231">
        <v>10387</v>
      </c>
      <c r="L231">
        <v>0</v>
      </c>
      <c r="M231">
        <v>10387</v>
      </c>
      <c r="N231">
        <v>9</v>
      </c>
      <c r="O231" t="s">
        <v>59</v>
      </c>
      <c r="P231" t="s">
        <v>122</v>
      </c>
      <c r="Q231" t="s">
        <v>218</v>
      </c>
      <c r="R231">
        <v>9100</v>
      </c>
    </row>
    <row r="232" spans="1:18" ht="15" customHeight="1" x14ac:dyDescent="0.3">
      <c r="A232" t="s">
        <v>479</v>
      </c>
      <c r="B232" t="s">
        <v>36</v>
      </c>
      <c r="C232">
        <v>3</v>
      </c>
      <c r="D232" t="s">
        <v>480</v>
      </c>
      <c r="E232" t="s">
        <v>38</v>
      </c>
      <c r="F232" t="s">
        <v>22</v>
      </c>
      <c r="G232" t="s">
        <v>91</v>
      </c>
      <c r="H232" t="s">
        <v>40</v>
      </c>
      <c r="I232">
        <v>1</v>
      </c>
      <c r="J232">
        <v>24999</v>
      </c>
      <c r="K232">
        <v>24999</v>
      </c>
      <c r="L232">
        <v>10</v>
      </c>
      <c r="M232">
        <v>22499.1</v>
      </c>
      <c r="N232">
        <v>8</v>
      </c>
      <c r="O232" t="s">
        <v>25</v>
      </c>
      <c r="P232" t="s">
        <v>122</v>
      </c>
      <c r="R232">
        <v>22900</v>
      </c>
    </row>
    <row r="233" spans="1:18" ht="15" customHeight="1" x14ac:dyDescent="0.3">
      <c r="A233" t="s">
        <v>481</v>
      </c>
      <c r="B233" t="s">
        <v>42</v>
      </c>
      <c r="C233">
        <v>4</v>
      </c>
      <c r="D233" t="s">
        <v>482</v>
      </c>
      <c r="E233" t="s">
        <v>38</v>
      </c>
      <c r="F233" t="s">
        <v>72</v>
      </c>
      <c r="G233" t="s">
        <v>73</v>
      </c>
      <c r="H233" t="s">
        <v>24</v>
      </c>
      <c r="I233">
        <v>13</v>
      </c>
      <c r="J233">
        <v>12999</v>
      </c>
      <c r="K233">
        <v>168987</v>
      </c>
      <c r="L233">
        <v>10</v>
      </c>
      <c r="M233">
        <v>152088.29999999999</v>
      </c>
      <c r="N233">
        <v>4</v>
      </c>
      <c r="O233" t="s">
        <v>59</v>
      </c>
      <c r="P233" t="s">
        <v>60</v>
      </c>
      <c r="Q233" t="s">
        <v>188</v>
      </c>
      <c r="R233">
        <v>136300</v>
      </c>
    </row>
    <row r="234" spans="1:18" ht="15" customHeight="1" x14ac:dyDescent="0.3">
      <c r="A234" t="s">
        <v>483</v>
      </c>
      <c r="B234" t="s">
        <v>48</v>
      </c>
      <c r="C234">
        <v>5</v>
      </c>
      <c r="D234" t="s">
        <v>484</v>
      </c>
      <c r="E234" t="s">
        <v>57</v>
      </c>
      <c r="F234" t="s">
        <v>31</v>
      </c>
      <c r="G234" t="s">
        <v>181</v>
      </c>
      <c r="H234" t="s">
        <v>40</v>
      </c>
      <c r="I234">
        <v>2</v>
      </c>
      <c r="J234">
        <v>499</v>
      </c>
      <c r="K234">
        <v>998</v>
      </c>
      <c r="L234">
        <v>0</v>
      </c>
      <c r="M234">
        <v>998</v>
      </c>
      <c r="N234">
        <v>5</v>
      </c>
      <c r="O234" t="s">
        <v>25</v>
      </c>
      <c r="P234" t="s">
        <v>122</v>
      </c>
      <c r="R234">
        <v>900</v>
      </c>
    </row>
    <row r="235" spans="1:18" ht="15" customHeight="1" x14ac:dyDescent="0.3">
      <c r="A235" t="s">
        <v>485</v>
      </c>
      <c r="B235" t="s">
        <v>55</v>
      </c>
      <c r="C235">
        <v>6</v>
      </c>
      <c r="D235" t="s">
        <v>486</v>
      </c>
      <c r="E235" t="s">
        <v>65</v>
      </c>
      <c r="F235" t="s">
        <v>31</v>
      </c>
      <c r="G235" t="s">
        <v>181</v>
      </c>
      <c r="H235" t="s">
        <v>33</v>
      </c>
      <c r="I235">
        <v>9</v>
      </c>
      <c r="J235">
        <v>7999</v>
      </c>
      <c r="K235">
        <v>71991</v>
      </c>
      <c r="L235">
        <v>15</v>
      </c>
      <c r="M235">
        <v>61192.35</v>
      </c>
      <c r="N235">
        <v>2</v>
      </c>
      <c r="O235" t="s">
        <v>25</v>
      </c>
      <c r="P235" t="s">
        <v>122</v>
      </c>
      <c r="R235">
        <v>62200</v>
      </c>
    </row>
    <row r="236" spans="1:18" ht="15" customHeight="1" x14ac:dyDescent="0.3">
      <c r="A236" t="s">
        <v>487</v>
      </c>
      <c r="B236" t="s">
        <v>63</v>
      </c>
      <c r="C236">
        <v>7</v>
      </c>
      <c r="D236" t="s">
        <v>253</v>
      </c>
      <c r="E236" t="s">
        <v>38</v>
      </c>
      <c r="F236" t="s">
        <v>51</v>
      </c>
      <c r="G236" t="s">
        <v>52</v>
      </c>
      <c r="H236" t="s">
        <v>24</v>
      </c>
      <c r="I236">
        <v>5</v>
      </c>
      <c r="J236">
        <v>2999</v>
      </c>
      <c r="K236">
        <v>14995</v>
      </c>
      <c r="L236">
        <v>15</v>
      </c>
      <c r="M236">
        <v>12745.75</v>
      </c>
      <c r="N236">
        <v>2</v>
      </c>
      <c r="O236" t="s">
        <v>59</v>
      </c>
      <c r="P236" t="s">
        <v>34</v>
      </c>
      <c r="Q236" t="s">
        <v>195</v>
      </c>
      <c r="R236">
        <v>13000</v>
      </c>
    </row>
    <row r="237" spans="1:18" ht="15" customHeight="1" x14ac:dyDescent="0.3">
      <c r="A237" t="s">
        <v>488</v>
      </c>
      <c r="B237" t="s">
        <v>67</v>
      </c>
      <c r="C237">
        <v>8</v>
      </c>
      <c r="D237" t="s">
        <v>455</v>
      </c>
      <c r="E237" t="s">
        <v>94</v>
      </c>
      <c r="F237" t="s">
        <v>72</v>
      </c>
      <c r="G237" t="s">
        <v>73</v>
      </c>
      <c r="H237" t="s">
        <v>40</v>
      </c>
      <c r="I237">
        <v>5</v>
      </c>
      <c r="J237">
        <v>1499</v>
      </c>
      <c r="K237">
        <v>7495</v>
      </c>
      <c r="L237">
        <v>15</v>
      </c>
      <c r="M237">
        <v>6370.75</v>
      </c>
      <c r="N237">
        <v>3</v>
      </c>
      <c r="O237" t="s">
        <v>25</v>
      </c>
      <c r="P237" t="s">
        <v>26</v>
      </c>
      <c r="R237">
        <v>5900</v>
      </c>
    </row>
    <row r="238" spans="1:18" ht="15" customHeight="1" x14ac:dyDescent="0.3">
      <c r="A238" t="s">
        <v>489</v>
      </c>
      <c r="B238" t="s">
        <v>70</v>
      </c>
      <c r="C238">
        <v>9</v>
      </c>
      <c r="D238" t="s">
        <v>490</v>
      </c>
      <c r="E238" t="s">
        <v>57</v>
      </c>
      <c r="F238" t="s">
        <v>72</v>
      </c>
      <c r="G238" t="s">
        <v>270</v>
      </c>
      <c r="H238" t="s">
        <v>40</v>
      </c>
      <c r="I238">
        <v>4</v>
      </c>
      <c r="J238">
        <v>24999</v>
      </c>
      <c r="K238">
        <v>99996</v>
      </c>
      <c r="L238">
        <v>15</v>
      </c>
      <c r="M238">
        <v>84996.6</v>
      </c>
      <c r="N238">
        <v>10</v>
      </c>
      <c r="O238" t="s">
        <v>25</v>
      </c>
      <c r="P238" t="s">
        <v>26</v>
      </c>
      <c r="R238">
        <v>75000</v>
      </c>
    </row>
    <row r="239" spans="1:18" ht="15" customHeight="1" x14ac:dyDescent="0.3">
      <c r="A239" t="s">
        <v>491</v>
      </c>
      <c r="B239" t="s">
        <v>75</v>
      </c>
      <c r="C239">
        <v>10</v>
      </c>
      <c r="D239" t="s">
        <v>398</v>
      </c>
      <c r="E239" t="s">
        <v>57</v>
      </c>
      <c r="F239" t="s">
        <v>22</v>
      </c>
      <c r="G239" t="s">
        <v>152</v>
      </c>
      <c r="H239" t="s">
        <v>33</v>
      </c>
      <c r="I239">
        <v>7</v>
      </c>
      <c r="J239">
        <v>1999</v>
      </c>
      <c r="K239">
        <v>13993</v>
      </c>
      <c r="L239">
        <v>15</v>
      </c>
      <c r="M239">
        <v>11894.05</v>
      </c>
      <c r="N239">
        <v>6</v>
      </c>
      <c r="O239" t="s">
        <v>25</v>
      </c>
      <c r="P239" t="s">
        <v>34</v>
      </c>
      <c r="R239">
        <v>10600</v>
      </c>
    </row>
    <row r="240" spans="1:18" ht="15" customHeight="1" x14ac:dyDescent="0.3">
      <c r="A240" t="s">
        <v>492</v>
      </c>
      <c r="B240" t="s">
        <v>79</v>
      </c>
      <c r="C240">
        <v>11</v>
      </c>
      <c r="D240" t="s">
        <v>400</v>
      </c>
      <c r="E240" t="s">
        <v>65</v>
      </c>
      <c r="F240" t="s">
        <v>51</v>
      </c>
      <c r="G240" t="s">
        <v>95</v>
      </c>
      <c r="H240" t="s">
        <v>40</v>
      </c>
      <c r="I240">
        <v>3</v>
      </c>
      <c r="J240">
        <v>2999</v>
      </c>
      <c r="K240">
        <v>8997</v>
      </c>
      <c r="L240">
        <v>10</v>
      </c>
      <c r="M240">
        <v>8097.3</v>
      </c>
      <c r="N240">
        <v>5</v>
      </c>
      <c r="O240" t="s">
        <v>59</v>
      </c>
      <c r="P240" t="s">
        <v>26</v>
      </c>
      <c r="Q240" t="s">
        <v>61</v>
      </c>
      <c r="R240">
        <v>8800</v>
      </c>
    </row>
    <row r="241" spans="1:18" ht="15" customHeight="1" x14ac:dyDescent="0.3">
      <c r="A241" t="s">
        <v>493</v>
      </c>
      <c r="B241" t="s">
        <v>83</v>
      </c>
      <c r="C241">
        <v>12</v>
      </c>
      <c r="D241" t="s">
        <v>494</v>
      </c>
      <c r="E241" t="s">
        <v>38</v>
      </c>
      <c r="F241" t="s">
        <v>72</v>
      </c>
      <c r="G241" t="s">
        <v>112</v>
      </c>
      <c r="H241" t="s">
        <v>40</v>
      </c>
      <c r="I241">
        <v>2</v>
      </c>
      <c r="J241">
        <v>12999</v>
      </c>
      <c r="K241">
        <v>25998</v>
      </c>
      <c r="L241">
        <v>5</v>
      </c>
      <c r="M241">
        <v>24698.1</v>
      </c>
      <c r="N241">
        <v>10</v>
      </c>
      <c r="O241" t="s">
        <v>46</v>
      </c>
      <c r="P241" t="s">
        <v>53</v>
      </c>
      <c r="R241">
        <v>26000</v>
      </c>
    </row>
    <row r="242" spans="1:18" ht="15" customHeight="1" x14ac:dyDescent="0.3">
      <c r="A242" t="s">
        <v>495</v>
      </c>
      <c r="B242" t="s">
        <v>19</v>
      </c>
      <c r="C242">
        <v>1</v>
      </c>
      <c r="D242" t="s">
        <v>496</v>
      </c>
      <c r="E242" t="s">
        <v>50</v>
      </c>
      <c r="F242" t="s">
        <v>22</v>
      </c>
      <c r="G242" t="s">
        <v>152</v>
      </c>
      <c r="H242" t="s">
        <v>40</v>
      </c>
      <c r="I242">
        <v>13</v>
      </c>
      <c r="J242">
        <v>1499</v>
      </c>
      <c r="K242">
        <v>19487</v>
      </c>
      <c r="L242">
        <v>0</v>
      </c>
      <c r="M242">
        <v>19487</v>
      </c>
      <c r="N242">
        <v>7</v>
      </c>
      <c r="O242" t="s">
        <v>25</v>
      </c>
      <c r="P242" t="s">
        <v>53</v>
      </c>
      <c r="R242">
        <v>20300</v>
      </c>
    </row>
    <row r="243" spans="1:18" ht="15" customHeight="1" x14ac:dyDescent="0.3">
      <c r="A243" t="s">
        <v>497</v>
      </c>
      <c r="B243" t="s">
        <v>28</v>
      </c>
      <c r="C243">
        <v>2</v>
      </c>
      <c r="D243" t="s">
        <v>29</v>
      </c>
      <c r="E243" t="s">
        <v>38</v>
      </c>
      <c r="F243" t="s">
        <v>44</v>
      </c>
      <c r="G243" t="s">
        <v>125</v>
      </c>
      <c r="H243" t="s">
        <v>40</v>
      </c>
      <c r="I243">
        <v>2</v>
      </c>
      <c r="J243">
        <v>4999</v>
      </c>
      <c r="K243">
        <v>9998</v>
      </c>
      <c r="L243">
        <v>20</v>
      </c>
      <c r="M243">
        <v>7998.4</v>
      </c>
      <c r="N243">
        <v>8</v>
      </c>
      <c r="O243" t="s">
        <v>25</v>
      </c>
      <c r="P243" t="s">
        <v>34</v>
      </c>
      <c r="R243">
        <v>8000</v>
      </c>
    </row>
    <row r="244" spans="1:18" ht="15" customHeight="1" x14ac:dyDescent="0.3">
      <c r="A244" t="s">
        <v>498</v>
      </c>
      <c r="B244" t="s">
        <v>36</v>
      </c>
      <c r="C244">
        <v>3</v>
      </c>
      <c r="D244" t="s">
        <v>446</v>
      </c>
      <c r="E244" t="s">
        <v>30</v>
      </c>
      <c r="F244" t="s">
        <v>72</v>
      </c>
      <c r="G244" t="s">
        <v>81</v>
      </c>
      <c r="H244" t="s">
        <v>40</v>
      </c>
      <c r="I244">
        <v>12</v>
      </c>
      <c r="J244">
        <v>7999</v>
      </c>
      <c r="K244">
        <v>95988</v>
      </c>
      <c r="L244">
        <v>20</v>
      </c>
      <c r="M244">
        <v>76790.399999999994</v>
      </c>
      <c r="N244">
        <v>2</v>
      </c>
      <c r="O244" t="s">
        <v>25</v>
      </c>
      <c r="P244" t="s">
        <v>53</v>
      </c>
      <c r="R244">
        <v>80400</v>
      </c>
    </row>
    <row r="245" spans="1:18" ht="15" customHeight="1" x14ac:dyDescent="0.3">
      <c r="A245" t="s">
        <v>499</v>
      </c>
      <c r="B245" t="s">
        <v>42</v>
      </c>
      <c r="C245">
        <v>4</v>
      </c>
      <c r="D245" t="s">
        <v>500</v>
      </c>
      <c r="E245" t="s">
        <v>30</v>
      </c>
      <c r="F245" t="s">
        <v>31</v>
      </c>
      <c r="G245" t="s">
        <v>77</v>
      </c>
      <c r="H245" t="s">
        <v>33</v>
      </c>
      <c r="I245">
        <v>11</v>
      </c>
      <c r="J245">
        <v>24999</v>
      </c>
      <c r="K245">
        <v>274989</v>
      </c>
      <c r="L245">
        <v>15</v>
      </c>
      <c r="M245">
        <v>233740.65</v>
      </c>
      <c r="N245">
        <v>6</v>
      </c>
      <c r="O245" t="s">
        <v>46</v>
      </c>
      <c r="P245" t="s">
        <v>26</v>
      </c>
      <c r="R245">
        <v>206100</v>
      </c>
    </row>
    <row r="246" spans="1:18" ht="15" customHeight="1" x14ac:dyDescent="0.3">
      <c r="A246" t="s">
        <v>501</v>
      </c>
      <c r="B246" t="s">
        <v>48</v>
      </c>
      <c r="C246">
        <v>5</v>
      </c>
      <c r="D246" t="s">
        <v>502</v>
      </c>
      <c r="E246" t="s">
        <v>50</v>
      </c>
      <c r="F246" t="s">
        <v>44</v>
      </c>
      <c r="G246" t="s">
        <v>125</v>
      </c>
      <c r="H246" t="s">
        <v>40</v>
      </c>
      <c r="I246">
        <v>6</v>
      </c>
      <c r="J246">
        <v>2999</v>
      </c>
      <c r="K246">
        <v>17994</v>
      </c>
      <c r="L246">
        <v>15</v>
      </c>
      <c r="M246">
        <v>15294.9</v>
      </c>
      <c r="N246">
        <v>10</v>
      </c>
      <c r="O246" t="s">
        <v>25</v>
      </c>
      <c r="P246" t="s">
        <v>53</v>
      </c>
      <c r="R246">
        <v>14600</v>
      </c>
    </row>
    <row r="247" spans="1:18" ht="15" customHeight="1" x14ac:dyDescent="0.3">
      <c r="A247" t="s">
        <v>503</v>
      </c>
      <c r="B247" t="s">
        <v>55</v>
      </c>
      <c r="C247">
        <v>6</v>
      </c>
      <c r="D247" t="s">
        <v>504</v>
      </c>
      <c r="E247" t="s">
        <v>21</v>
      </c>
      <c r="F247" t="s">
        <v>72</v>
      </c>
      <c r="G247" t="s">
        <v>270</v>
      </c>
      <c r="H247" t="s">
        <v>40</v>
      </c>
      <c r="I247">
        <v>15</v>
      </c>
      <c r="J247">
        <v>499</v>
      </c>
      <c r="K247">
        <v>7485</v>
      </c>
      <c r="L247">
        <v>0</v>
      </c>
      <c r="M247">
        <v>7485</v>
      </c>
      <c r="N247">
        <v>3</v>
      </c>
      <c r="O247" t="s">
        <v>25</v>
      </c>
      <c r="P247" t="s">
        <v>122</v>
      </c>
      <c r="R247">
        <v>7400</v>
      </c>
    </row>
    <row r="248" spans="1:18" ht="15" customHeight="1" x14ac:dyDescent="0.3">
      <c r="A248" t="s">
        <v>505</v>
      </c>
      <c r="B248" t="s">
        <v>63</v>
      </c>
      <c r="C248">
        <v>7</v>
      </c>
      <c r="D248" t="s">
        <v>293</v>
      </c>
      <c r="E248" t="s">
        <v>57</v>
      </c>
      <c r="F248" t="s">
        <v>51</v>
      </c>
      <c r="G248" t="s">
        <v>275</v>
      </c>
      <c r="H248" t="s">
        <v>40</v>
      </c>
      <c r="I248">
        <v>2</v>
      </c>
      <c r="J248">
        <v>4999</v>
      </c>
      <c r="K248">
        <v>9998</v>
      </c>
      <c r="L248">
        <v>15</v>
      </c>
      <c r="M248">
        <v>8498.2999999999993</v>
      </c>
      <c r="N248">
        <v>6</v>
      </c>
      <c r="O248" t="s">
        <v>25</v>
      </c>
      <c r="P248" t="s">
        <v>60</v>
      </c>
      <c r="R248">
        <v>9300</v>
      </c>
    </row>
    <row r="249" spans="1:18" ht="15" customHeight="1" x14ac:dyDescent="0.3">
      <c r="A249" t="s">
        <v>506</v>
      </c>
      <c r="B249" t="s">
        <v>67</v>
      </c>
      <c r="C249">
        <v>8</v>
      </c>
      <c r="D249" t="s">
        <v>507</v>
      </c>
      <c r="E249" t="s">
        <v>118</v>
      </c>
      <c r="F249" t="s">
        <v>22</v>
      </c>
      <c r="G249" t="s">
        <v>91</v>
      </c>
      <c r="H249" t="s">
        <v>33</v>
      </c>
      <c r="I249">
        <v>13</v>
      </c>
      <c r="J249">
        <v>799</v>
      </c>
      <c r="K249">
        <v>10387</v>
      </c>
      <c r="L249">
        <v>5</v>
      </c>
      <c r="M249">
        <v>9867.65</v>
      </c>
      <c r="N249">
        <v>9</v>
      </c>
      <c r="O249" t="s">
        <v>25</v>
      </c>
      <c r="P249" t="s">
        <v>53</v>
      </c>
      <c r="R249">
        <v>9400</v>
      </c>
    </row>
    <row r="250" spans="1:18" ht="15" customHeight="1" x14ac:dyDescent="0.3">
      <c r="A250" t="s">
        <v>508</v>
      </c>
      <c r="B250" t="s">
        <v>70</v>
      </c>
      <c r="C250">
        <v>9</v>
      </c>
      <c r="D250" t="s">
        <v>509</v>
      </c>
      <c r="E250" t="s">
        <v>38</v>
      </c>
      <c r="F250" t="s">
        <v>72</v>
      </c>
      <c r="G250" t="s">
        <v>73</v>
      </c>
      <c r="H250" t="s">
        <v>33</v>
      </c>
      <c r="I250">
        <v>3</v>
      </c>
      <c r="J250">
        <v>799</v>
      </c>
      <c r="K250">
        <v>2397</v>
      </c>
      <c r="L250">
        <v>15</v>
      </c>
      <c r="M250">
        <v>2037.45</v>
      </c>
      <c r="N250">
        <v>7</v>
      </c>
      <c r="O250" t="s">
        <v>25</v>
      </c>
      <c r="P250" t="s">
        <v>34</v>
      </c>
      <c r="R250">
        <v>2300</v>
      </c>
    </row>
    <row r="251" spans="1:18" ht="15" customHeight="1" x14ac:dyDescent="0.3">
      <c r="A251" t="s">
        <v>510</v>
      </c>
      <c r="B251" t="s">
        <v>75</v>
      </c>
      <c r="C251">
        <v>10</v>
      </c>
      <c r="D251" t="s">
        <v>511</v>
      </c>
      <c r="E251" t="s">
        <v>38</v>
      </c>
      <c r="F251" t="s">
        <v>51</v>
      </c>
      <c r="G251" t="s">
        <v>275</v>
      </c>
      <c r="H251" t="s">
        <v>24</v>
      </c>
      <c r="I251">
        <v>12</v>
      </c>
      <c r="J251">
        <v>999</v>
      </c>
      <c r="K251">
        <v>11988</v>
      </c>
      <c r="L251">
        <v>5</v>
      </c>
      <c r="M251">
        <v>11388.6</v>
      </c>
      <c r="N251">
        <v>5</v>
      </c>
      <c r="O251" t="s">
        <v>59</v>
      </c>
      <c r="P251" t="s">
        <v>60</v>
      </c>
      <c r="Q251" t="s">
        <v>61</v>
      </c>
      <c r="R251">
        <v>10000</v>
      </c>
    </row>
    <row r="252" spans="1:18" ht="15" customHeight="1" x14ac:dyDescent="0.3">
      <c r="A252" t="s">
        <v>512</v>
      </c>
      <c r="B252" t="s">
        <v>79</v>
      </c>
      <c r="C252">
        <v>11</v>
      </c>
      <c r="D252" t="s">
        <v>192</v>
      </c>
      <c r="E252" t="s">
        <v>57</v>
      </c>
      <c r="F252" t="s">
        <v>51</v>
      </c>
      <c r="G252" t="s">
        <v>95</v>
      </c>
      <c r="H252" t="s">
        <v>40</v>
      </c>
      <c r="I252">
        <v>4</v>
      </c>
      <c r="J252">
        <v>4999</v>
      </c>
      <c r="K252">
        <v>19996</v>
      </c>
      <c r="L252">
        <v>0</v>
      </c>
      <c r="M252">
        <v>19996</v>
      </c>
      <c r="N252">
        <v>5</v>
      </c>
      <c r="O252" t="s">
        <v>25</v>
      </c>
      <c r="P252" t="s">
        <v>26</v>
      </c>
      <c r="R252">
        <v>20200</v>
      </c>
    </row>
    <row r="253" spans="1:18" ht="15" customHeight="1" x14ac:dyDescent="0.3">
      <c r="A253" t="s">
        <v>513</v>
      </c>
      <c r="B253" t="s">
        <v>83</v>
      </c>
      <c r="C253">
        <v>12</v>
      </c>
      <c r="D253" t="s">
        <v>422</v>
      </c>
      <c r="E253" t="s">
        <v>38</v>
      </c>
      <c r="F253" t="s">
        <v>44</v>
      </c>
      <c r="G253" t="s">
        <v>45</v>
      </c>
      <c r="H253" t="s">
        <v>33</v>
      </c>
      <c r="I253">
        <v>7</v>
      </c>
      <c r="J253">
        <v>12999</v>
      </c>
      <c r="K253">
        <v>90993</v>
      </c>
      <c r="L253">
        <v>0</v>
      </c>
      <c r="M253">
        <v>90993</v>
      </c>
      <c r="N253">
        <v>6</v>
      </c>
      <c r="O253" t="s">
        <v>25</v>
      </c>
      <c r="P253" t="s">
        <v>26</v>
      </c>
      <c r="R253">
        <v>94200</v>
      </c>
    </row>
    <row r="254" spans="1:18" ht="15" customHeight="1" x14ac:dyDescent="0.3">
      <c r="A254" t="s">
        <v>514</v>
      </c>
      <c r="B254" t="s">
        <v>19</v>
      </c>
      <c r="C254">
        <v>1</v>
      </c>
      <c r="D254" t="s">
        <v>515</v>
      </c>
      <c r="E254" t="s">
        <v>118</v>
      </c>
      <c r="F254" t="s">
        <v>44</v>
      </c>
      <c r="G254" t="s">
        <v>45</v>
      </c>
      <c r="H254" t="s">
        <v>33</v>
      </c>
      <c r="I254">
        <v>3</v>
      </c>
      <c r="J254">
        <v>1999</v>
      </c>
      <c r="K254">
        <v>5997</v>
      </c>
      <c r="L254">
        <v>0</v>
      </c>
      <c r="M254">
        <v>5997</v>
      </c>
      <c r="N254">
        <v>4</v>
      </c>
      <c r="O254" t="s">
        <v>25</v>
      </c>
      <c r="P254" t="s">
        <v>53</v>
      </c>
      <c r="R254">
        <v>5800</v>
      </c>
    </row>
    <row r="255" spans="1:18" ht="15" customHeight="1" x14ac:dyDescent="0.3">
      <c r="A255" t="s">
        <v>516</v>
      </c>
      <c r="B255" t="s">
        <v>28</v>
      </c>
      <c r="C255">
        <v>2</v>
      </c>
      <c r="D255" t="s">
        <v>325</v>
      </c>
      <c r="E255" t="s">
        <v>38</v>
      </c>
      <c r="F255" t="s">
        <v>51</v>
      </c>
      <c r="G255" t="s">
        <v>275</v>
      </c>
      <c r="H255" t="s">
        <v>33</v>
      </c>
      <c r="I255">
        <v>3</v>
      </c>
      <c r="J255">
        <v>12999</v>
      </c>
      <c r="K255">
        <v>38997</v>
      </c>
      <c r="L255">
        <v>15</v>
      </c>
      <c r="M255">
        <v>33147.449999999997</v>
      </c>
      <c r="N255">
        <v>7</v>
      </c>
      <c r="O255" t="s">
        <v>25</v>
      </c>
      <c r="P255" t="s">
        <v>34</v>
      </c>
      <c r="R255">
        <v>35100</v>
      </c>
    </row>
    <row r="256" spans="1:18" ht="15" customHeight="1" x14ac:dyDescent="0.3">
      <c r="A256" t="s">
        <v>517</v>
      </c>
      <c r="B256" t="s">
        <v>36</v>
      </c>
      <c r="C256">
        <v>3</v>
      </c>
      <c r="D256" t="s">
        <v>446</v>
      </c>
      <c r="E256" t="s">
        <v>94</v>
      </c>
      <c r="F256" t="s">
        <v>31</v>
      </c>
      <c r="G256" t="s">
        <v>77</v>
      </c>
      <c r="H256" t="s">
        <v>40</v>
      </c>
      <c r="I256">
        <v>5</v>
      </c>
      <c r="J256">
        <v>799</v>
      </c>
      <c r="K256">
        <v>3995</v>
      </c>
      <c r="L256">
        <v>5</v>
      </c>
      <c r="M256">
        <v>3795.25</v>
      </c>
      <c r="N256">
        <v>6</v>
      </c>
      <c r="O256" t="s">
        <v>88</v>
      </c>
      <c r="P256" t="s">
        <v>34</v>
      </c>
      <c r="R256">
        <v>3300</v>
      </c>
    </row>
    <row r="257" spans="1:18" ht="15" customHeight="1" x14ac:dyDescent="0.3">
      <c r="A257" t="s">
        <v>518</v>
      </c>
      <c r="B257" t="s">
        <v>42</v>
      </c>
      <c r="C257">
        <v>4</v>
      </c>
      <c r="D257" t="s">
        <v>519</v>
      </c>
      <c r="E257" t="s">
        <v>94</v>
      </c>
      <c r="F257" t="s">
        <v>22</v>
      </c>
      <c r="G257" t="s">
        <v>152</v>
      </c>
      <c r="H257" t="s">
        <v>24</v>
      </c>
      <c r="I257">
        <v>14</v>
      </c>
      <c r="J257">
        <v>2999</v>
      </c>
      <c r="K257">
        <v>41986</v>
      </c>
      <c r="L257">
        <v>20</v>
      </c>
      <c r="M257">
        <v>33588.800000000003</v>
      </c>
      <c r="N257">
        <v>9</v>
      </c>
      <c r="O257" t="s">
        <v>25</v>
      </c>
      <c r="P257" t="s">
        <v>26</v>
      </c>
      <c r="R257">
        <v>35400</v>
      </c>
    </row>
    <row r="258" spans="1:18" ht="15" customHeight="1" x14ac:dyDescent="0.3">
      <c r="A258" t="s">
        <v>520</v>
      </c>
      <c r="B258" t="s">
        <v>48</v>
      </c>
      <c r="C258">
        <v>5</v>
      </c>
      <c r="D258" t="s">
        <v>155</v>
      </c>
      <c r="E258" t="s">
        <v>94</v>
      </c>
      <c r="F258" t="s">
        <v>72</v>
      </c>
      <c r="G258" t="s">
        <v>103</v>
      </c>
      <c r="H258" t="s">
        <v>24</v>
      </c>
      <c r="I258">
        <v>10</v>
      </c>
      <c r="J258">
        <v>299</v>
      </c>
      <c r="K258">
        <v>2990</v>
      </c>
      <c r="L258">
        <v>5</v>
      </c>
      <c r="M258">
        <v>2840.5</v>
      </c>
      <c r="N258">
        <v>5</v>
      </c>
      <c r="O258" t="s">
        <v>25</v>
      </c>
      <c r="P258" t="s">
        <v>53</v>
      </c>
      <c r="R258">
        <v>2900</v>
      </c>
    </row>
    <row r="259" spans="1:18" ht="15" customHeight="1" x14ac:dyDescent="0.3">
      <c r="A259" t="s">
        <v>521</v>
      </c>
      <c r="B259" t="s">
        <v>55</v>
      </c>
      <c r="C259">
        <v>6</v>
      </c>
      <c r="D259" t="s">
        <v>272</v>
      </c>
      <c r="E259" t="s">
        <v>65</v>
      </c>
      <c r="F259" t="s">
        <v>72</v>
      </c>
      <c r="G259" t="s">
        <v>81</v>
      </c>
      <c r="H259" t="s">
        <v>33</v>
      </c>
      <c r="I259">
        <v>9</v>
      </c>
      <c r="J259">
        <v>499</v>
      </c>
      <c r="K259">
        <v>4491</v>
      </c>
      <c r="L259">
        <v>20</v>
      </c>
      <c r="M259">
        <v>3592.8</v>
      </c>
      <c r="N259">
        <v>2</v>
      </c>
      <c r="O259" t="s">
        <v>25</v>
      </c>
      <c r="P259" t="s">
        <v>34</v>
      </c>
      <c r="R259">
        <v>3900</v>
      </c>
    </row>
    <row r="260" spans="1:18" ht="15" customHeight="1" x14ac:dyDescent="0.3">
      <c r="A260" t="s">
        <v>522</v>
      </c>
      <c r="B260" t="s">
        <v>63</v>
      </c>
      <c r="C260">
        <v>7</v>
      </c>
      <c r="D260" t="s">
        <v>274</v>
      </c>
      <c r="E260" t="s">
        <v>65</v>
      </c>
      <c r="F260" t="s">
        <v>51</v>
      </c>
      <c r="G260" t="s">
        <v>115</v>
      </c>
      <c r="H260" t="s">
        <v>33</v>
      </c>
      <c r="I260">
        <v>4</v>
      </c>
      <c r="J260">
        <v>2999</v>
      </c>
      <c r="K260">
        <v>11996</v>
      </c>
      <c r="L260">
        <v>0</v>
      </c>
      <c r="M260">
        <v>11996</v>
      </c>
      <c r="N260">
        <v>4</v>
      </c>
      <c r="O260" t="s">
        <v>25</v>
      </c>
      <c r="P260" t="s">
        <v>60</v>
      </c>
      <c r="R260">
        <v>11800</v>
      </c>
    </row>
    <row r="261" spans="1:18" ht="15" customHeight="1" x14ac:dyDescent="0.3">
      <c r="A261" t="s">
        <v>523</v>
      </c>
      <c r="B261" t="s">
        <v>67</v>
      </c>
      <c r="C261">
        <v>8</v>
      </c>
      <c r="D261" t="s">
        <v>524</v>
      </c>
      <c r="E261" t="s">
        <v>118</v>
      </c>
      <c r="F261" t="s">
        <v>22</v>
      </c>
      <c r="G261" t="s">
        <v>152</v>
      </c>
      <c r="H261" t="s">
        <v>24</v>
      </c>
      <c r="I261">
        <v>4</v>
      </c>
      <c r="J261">
        <v>12999</v>
      </c>
      <c r="K261">
        <v>51996</v>
      </c>
      <c r="L261">
        <v>10</v>
      </c>
      <c r="M261">
        <v>46796.4</v>
      </c>
      <c r="N261">
        <v>10</v>
      </c>
      <c r="O261" t="s">
        <v>25</v>
      </c>
      <c r="P261" t="s">
        <v>53</v>
      </c>
      <c r="R261">
        <v>48400</v>
      </c>
    </row>
    <row r="262" spans="1:18" ht="15" customHeight="1" x14ac:dyDescent="0.3">
      <c r="A262" t="s">
        <v>525</v>
      </c>
      <c r="B262" t="s">
        <v>70</v>
      </c>
      <c r="C262">
        <v>9</v>
      </c>
      <c r="D262" t="s">
        <v>490</v>
      </c>
      <c r="E262" t="s">
        <v>30</v>
      </c>
      <c r="F262" t="s">
        <v>31</v>
      </c>
      <c r="G262" t="s">
        <v>32</v>
      </c>
      <c r="H262" t="s">
        <v>33</v>
      </c>
      <c r="I262">
        <v>6</v>
      </c>
      <c r="J262">
        <v>7999</v>
      </c>
      <c r="K262">
        <v>47994</v>
      </c>
      <c r="L262">
        <v>10</v>
      </c>
      <c r="M262">
        <v>43194.6</v>
      </c>
      <c r="N262">
        <v>10</v>
      </c>
      <c r="O262" t="s">
        <v>25</v>
      </c>
      <c r="P262" t="s">
        <v>122</v>
      </c>
      <c r="R262">
        <v>49400</v>
      </c>
    </row>
    <row r="263" spans="1:18" ht="15" customHeight="1" x14ac:dyDescent="0.3">
      <c r="A263" t="s">
        <v>526</v>
      </c>
      <c r="B263" t="s">
        <v>75</v>
      </c>
      <c r="C263">
        <v>10</v>
      </c>
      <c r="D263" t="s">
        <v>109</v>
      </c>
      <c r="E263" t="s">
        <v>21</v>
      </c>
      <c r="F263" t="s">
        <v>44</v>
      </c>
      <c r="G263" t="s">
        <v>45</v>
      </c>
      <c r="H263" t="s">
        <v>33</v>
      </c>
      <c r="I263">
        <v>15</v>
      </c>
      <c r="J263">
        <v>24999</v>
      </c>
      <c r="K263">
        <v>374985</v>
      </c>
      <c r="L263">
        <v>0</v>
      </c>
      <c r="M263">
        <v>374985</v>
      </c>
      <c r="N263">
        <v>3</v>
      </c>
      <c r="O263" t="s">
        <v>46</v>
      </c>
      <c r="P263" t="s">
        <v>26</v>
      </c>
      <c r="R263">
        <v>422100</v>
      </c>
    </row>
    <row r="264" spans="1:18" ht="15" customHeight="1" x14ac:dyDescent="0.3">
      <c r="A264" t="s">
        <v>527</v>
      </c>
      <c r="B264" t="s">
        <v>79</v>
      </c>
      <c r="C264">
        <v>11</v>
      </c>
      <c r="D264" t="s">
        <v>192</v>
      </c>
      <c r="E264" t="s">
        <v>50</v>
      </c>
      <c r="F264" t="s">
        <v>31</v>
      </c>
      <c r="G264" t="s">
        <v>32</v>
      </c>
      <c r="H264" t="s">
        <v>24</v>
      </c>
      <c r="I264">
        <v>12</v>
      </c>
      <c r="J264">
        <v>1999</v>
      </c>
      <c r="K264">
        <v>23988</v>
      </c>
      <c r="L264">
        <v>5</v>
      </c>
      <c r="M264">
        <v>22788.6</v>
      </c>
      <c r="N264">
        <v>7</v>
      </c>
      <c r="O264" t="s">
        <v>25</v>
      </c>
      <c r="P264" t="s">
        <v>34</v>
      </c>
      <c r="R264">
        <v>23700</v>
      </c>
    </row>
    <row r="265" spans="1:18" ht="15" customHeight="1" x14ac:dyDescent="0.3">
      <c r="A265" t="s">
        <v>528</v>
      </c>
      <c r="B265" t="s">
        <v>83</v>
      </c>
      <c r="C265">
        <v>12</v>
      </c>
      <c r="D265" t="s">
        <v>529</v>
      </c>
      <c r="E265" t="s">
        <v>65</v>
      </c>
      <c r="F265" t="s">
        <v>72</v>
      </c>
      <c r="G265" t="s">
        <v>103</v>
      </c>
      <c r="H265" t="s">
        <v>24</v>
      </c>
      <c r="I265">
        <v>11</v>
      </c>
      <c r="J265">
        <v>499</v>
      </c>
      <c r="K265">
        <v>5489</v>
      </c>
      <c r="L265">
        <v>15</v>
      </c>
      <c r="M265">
        <v>4665.6499999999996</v>
      </c>
      <c r="N265">
        <v>9</v>
      </c>
      <c r="O265" t="s">
        <v>59</v>
      </c>
      <c r="P265" t="s">
        <v>122</v>
      </c>
      <c r="Q265" t="s">
        <v>149</v>
      </c>
      <c r="R265">
        <v>5300</v>
      </c>
    </row>
    <row r="266" spans="1:18" ht="15" customHeight="1" x14ac:dyDescent="0.3">
      <c r="A266" t="s">
        <v>530</v>
      </c>
      <c r="B266" t="s">
        <v>19</v>
      </c>
      <c r="C266">
        <v>1</v>
      </c>
      <c r="D266" t="s">
        <v>531</v>
      </c>
      <c r="E266" t="s">
        <v>118</v>
      </c>
      <c r="F266" t="s">
        <v>51</v>
      </c>
      <c r="G266" t="s">
        <v>115</v>
      </c>
      <c r="H266" t="s">
        <v>33</v>
      </c>
      <c r="I266">
        <v>8</v>
      </c>
      <c r="J266">
        <v>24999</v>
      </c>
      <c r="K266">
        <v>199992</v>
      </c>
      <c r="L266">
        <v>10</v>
      </c>
      <c r="M266">
        <v>179992.8</v>
      </c>
      <c r="N266">
        <v>2</v>
      </c>
      <c r="O266" t="s">
        <v>59</v>
      </c>
      <c r="P266" t="s">
        <v>26</v>
      </c>
      <c r="Q266" t="s">
        <v>195</v>
      </c>
      <c r="R266">
        <v>205300</v>
      </c>
    </row>
    <row r="267" spans="1:18" ht="15" customHeight="1" x14ac:dyDescent="0.3">
      <c r="A267" t="s">
        <v>532</v>
      </c>
      <c r="B267" t="s">
        <v>28</v>
      </c>
      <c r="C267">
        <v>2</v>
      </c>
      <c r="D267" t="s">
        <v>220</v>
      </c>
      <c r="E267" t="s">
        <v>21</v>
      </c>
      <c r="F267" t="s">
        <v>31</v>
      </c>
      <c r="G267" t="s">
        <v>181</v>
      </c>
      <c r="H267" t="s">
        <v>40</v>
      </c>
      <c r="I267">
        <v>14</v>
      </c>
      <c r="J267">
        <v>1499</v>
      </c>
      <c r="K267">
        <v>20986</v>
      </c>
      <c r="L267">
        <v>10</v>
      </c>
      <c r="M267">
        <v>18887.400000000001</v>
      </c>
      <c r="N267">
        <v>9</v>
      </c>
      <c r="O267" t="s">
        <v>25</v>
      </c>
      <c r="P267" t="s">
        <v>34</v>
      </c>
      <c r="R267">
        <v>20900</v>
      </c>
    </row>
    <row r="268" spans="1:18" ht="15" customHeight="1" x14ac:dyDescent="0.3">
      <c r="A268" t="s">
        <v>533</v>
      </c>
      <c r="B268" t="s">
        <v>36</v>
      </c>
      <c r="C268">
        <v>3</v>
      </c>
      <c r="D268" t="s">
        <v>534</v>
      </c>
      <c r="E268" t="s">
        <v>30</v>
      </c>
      <c r="F268" t="s">
        <v>44</v>
      </c>
      <c r="G268" t="s">
        <v>85</v>
      </c>
      <c r="H268" t="s">
        <v>24</v>
      </c>
      <c r="I268">
        <v>11</v>
      </c>
      <c r="J268">
        <v>4999</v>
      </c>
      <c r="K268">
        <v>54989</v>
      </c>
      <c r="L268">
        <v>0</v>
      </c>
      <c r="M268">
        <v>54989</v>
      </c>
      <c r="N268">
        <v>2</v>
      </c>
      <c r="O268" t="s">
        <v>46</v>
      </c>
      <c r="P268" t="s">
        <v>53</v>
      </c>
      <c r="R268">
        <v>54000</v>
      </c>
    </row>
    <row r="269" spans="1:18" ht="15" customHeight="1" x14ac:dyDescent="0.3">
      <c r="A269" t="s">
        <v>535</v>
      </c>
      <c r="B269" t="s">
        <v>42</v>
      </c>
      <c r="C269">
        <v>4</v>
      </c>
      <c r="D269" t="s">
        <v>536</v>
      </c>
      <c r="E269" t="s">
        <v>94</v>
      </c>
      <c r="F269" t="s">
        <v>72</v>
      </c>
      <c r="G269" t="s">
        <v>73</v>
      </c>
      <c r="H269" t="s">
        <v>33</v>
      </c>
      <c r="I269">
        <v>5</v>
      </c>
      <c r="J269">
        <v>799</v>
      </c>
      <c r="K269">
        <v>3995</v>
      </c>
      <c r="L269">
        <v>10</v>
      </c>
      <c r="M269">
        <v>3595.5</v>
      </c>
      <c r="N269">
        <v>2</v>
      </c>
      <c r="O269" t="s">
        <v>25</v>
      </c>
      <c r="P269" t="s">
        <v>122</v>
      </c>
      <c r="R269">
        <v>3100</v>
      </c>
    </row>
    <row r="270" spans="1:18" ht="15" customHeight="1" x14ac:dyDescent="0.3">
      <c r="A270" t="s">
        <v>537</v>
      </c>
      <c r="B270" t="s">
        <v>48</v>
      </c>
      <c r="C270">
        <v>5</v>
      </c>
      <c r="D270" t="s">
        <v>538</v>
      </c>
      <c r="E270" t="s">
        <v>38</v>
      </c>
      <c r="F270" t="s">
        <v>31</v>
      </c>
      <c r="G270" t="s">
        <v>251</v>
      </c>
      <c r="H270" t="s">
        <v>33</v>
      </c>
      <c r="I270">
        <v>5</v>
      </c>
      <c r="J270">
        <v>999</v>
      </c>
      <c r="K270">
        <v>4995</v>
      </c>
      <c r="L270">
        <v>15</v>
      </c>
      <c r="M270">
        <v>4245.75</v>
      </c>
      <c r="N270">
        <v>2</v>
      </c>
      <c r="O270" t="s">
        <v>59</v>
      </c>
      <c r="P270" t="s">
        <v>60</v>
      </c>
      <c r="Q270" t="s">
        <v>195</v>
      </c>
      <c r="R270">
        <v>4200</v>
      </c>
    </row>
    <row r="271" spans="1:18" ht="15" customHeight="1" x14ac:dyDescent="0.3">
      <c r="A271" t="s">
        <v>539</v>
      </c>
      <c r="B271" t="s">
        <v>55</v>
      </c>
      <c r="C271">
        <v>6</v>
      </c>
      <c r="D271" t="s">
        <v>180</v>
      </c>
      <c r="E271" t="s">
        <v>65</v>
      </c>
      <c r="F271" t="s">
        <v>51</v>
      </c>
      <c r="G271" t="s">
        <v>95</v>
      </c>
      <c r="H271" t="s">
        <v>24</v>
      </c>
      <c r="I271">
        <v>1</v>
      </c>
      <c r="J271">
        <v>1999</v>
      </c>
      <c r="K271">
        <v>1999</v>
      </c>
      <c r="L271">
        <v>0</v>
      </c>
      <c r="M271">
        <v>1999</v>
      </c>
      <c r="N271">
        <v>7</v>
      </c>
      <c r="O271" t="s">
        <v>25</v>
      </c>
      <c r="P271" t="s">
        <v>26</v>
      </c>
      <c r="R271">
        <v>1700</v>
      </c>
    </row>
    <row r="272" spans="1:18" ht="15" customHeight="1" x14ac:dyDescent="0.3">
      <c r="A272" t="s">
        <v>540</v>
      </c>
      <c r="B272" t="s">
        <v>63</v>
      </c>
      <c r="C272">
        <v>7</v>
      </c>
      <c r="D272" t="s">
        <v>541</v>
      </c>
      <c r="E272" t="s">
        <v>118</v>
      </c>
      <c r="F272" t="s">
        <v>22</v>
      </c>
      <c r="G272" t="s">
        <v>23</v>
      </c>
      <c r="H272" t="s">
        <v>40</v>
      </c>
      <c r="I272">
        <v>6</v>
      </c>
      <c r="J272">
        <v>1499</v>
      </c>
      <c r="K272">
        <v>8994</v>
      </c>
      <c r="L272">
        <v>5</v>
      </c>
      <c r="M272">
        <v>8544.2999999999993</v>
      </c>
      <c r="N272">
        <v>7</v>
      </c>
      <c r="O272" t="s">
        <v>59</v>
      </c>
      <c r="P272" t="s">
        <v>53</v>
      </c>
      <c r="R272">
        <v>9800</v>
      </c>
    </row>
    <row r="273" spans="1:18" ht="15" customHeight="1" x14ac:dyDescent="0.3">
      <c r="A273" t="s">
        <v>542</v>
      </c>
      <c r="B273" t="s">
        <v>67</v>
      </c>
      <c r="C273">
        <v>8</v>
      </c>
      <c r="D273" t="s">
        <v>255</v>
      </c>
      <c r="E273" t="s">
        <v>30</v>
      </c>
      <c r="F273" t="s">
        <v>22</v>
      </c>
      <c r="G273" t="s">
        <v>121</v>
      </c>
      <c r="H273" t="s">
        <v>33</v>
      </c>
      <c r="I273">
        <v>11</v>
      </c>
      <c r="J273">
        <v>799</v>
      </c>
      <c r="K273">
        <v>8789</v>
      </c>
      <c r="L273">
        <v>15</v>
      </c>
      <c r="M273">
        <v>7470.65</v>
      </c>
      <c r="N273">
        <v>6</v>
      </c>
      <c r="O273" t="s">
        <v>59</v>
      </c>
      <c r="P273" t="s">
        <v>53</v>
      </c>
      <c r="Q273" t="s">
        <v>149</v>
      </c>
      <c r="R273">
        <v>7700</v>
      </c>
    </row>
    <row r="274" spans="1:18" ht="15" customHeight="1" x14ac:dyDescent="0.3">
      <c r="A274" t="s">
        <v>543</v>
      </c>
      <c r="B274" t="s">
        <v>70</v>
      </c>
      <c r="C274">
        <v>9</v>
      </c>
      <c r="D274" t="s">
        <v>163</v>
      </c>
      <c r="E274" t="s">
        <v>118</v>
      </c>
      <c r="F274" t="s">
        <v>31</v>
      </c>
      <c r="G274" t="s">
        <v>251</v>
      </c>
      <c r="H274" t="s">
        <v>24</v>
      </c>
      <c r="I274">
        <v>13</v>
      </c>
      <c r="J274">
        <v>499</v>
      </c>
      <c r="K274">
        <v>6487</v>
      </c>
      <c r="L274">
        <v>20</v>
      </c>
      <c r="M274">
        <v>5189.6000000000004</v>
      </c>
      <c r="N274">
        <v>7</v>
      </c>
      <c r="O274" t="s">
        <v>25</v>
      </c>
      <c r="P274" t="s">
        <v>26</v>
      </c>
      <c r="R274">
        <v>4900</v>
      </c>
    </row>
    <row r="275" spans="1:18" ht="15" customHeight="1" x14ac:dyDescent="0.3">
      <c r="A275" t="s">
        <v>544</v>
      </c>
      <c r="B275" t="s">
        <v>75</v>
      </c>
      <c r="C275">
        <v>10</v>
      </c>
      <c r="D275" t="s">
        <v>545</v>
      </c>
      <c r="E275" t="s">
        <v>118</v>
      </c>
      <c r="F275" t="s">
        <v>31</v>
      </c>
      <c r="G275" t="s">
        <v>134</v>
      </c>
      <c r="H275" t="s">
        <v>24</v>
      </c>
      <c r="I275">
        <v>9</v>
      </c>
      <c r="J275">
        <v>12999</v>
      </c>
      <c r="K275">
        <v>116991</v>
      </c>
      <c r="L275">
        <v>20</v>
      </c>
      <c r="M275">
        <v>93592.8</v>
      </c>
      <c r="N275">
        <v>10</v>
      </c>
      <c r="O275" t="s">
        <v>25</v>
      </c>
      <c r="P275" t="s">
        <v>60</v>
      </c>
      <c r="R275">
        <v>103400</v>
      </c>
    </row>
    <row r="276" spans="1:18" ht="15" customHeight="1" x14ac:dyDescent="0.3">
      <c r="A276" t="s">
        <v>546</v>
      </c>
      <c r="B276" t="s">
        <v>79</v>
      </c>
      <c r="C276">
        <v>11</v>
      </c>
      <c r="D276" t="s">
        <v>192</v>
      </c>
      <c r="E276" t="s">
        <v>50</v>
      </c>
      <c r="F276" t="s">
        <v>44</v>
      </c>
      <c r="G276" t="s">
        <v>125</v>
      </c>
      <c r="H276" t="s">
        <v>33</v>
      </c>
      <c r="I276">
        <v>7</v>
      </c>
      <c r="J276">
        <v>1499</v>
      </c>
      <c r="K276">
        <v>10493</v>
      </c>
      <c r="L276">
        <v>0</v>
      </c>
      <c r="M276">
        <v>10493</v>
      </c>
      <c r="N276">
        <v>4</v>
      </c>
      <c r="O276" t="s">
        <v>25</v>
      </c>
      <c r="P276" t="s">
        <v>60</v>
      </c>
      <c r="R276">
        <v>9700</v>
      </c>
    </row>
    <row r="277" spans="1:18" ht="15" customHeight="1" x14ac:dyDescent="0.3">
      <c r="A277" t="s">
        <v>547</v>
      </c>
      <c r="B277" t="s">
        <v>83</v>
      </c>
      <c r="C277">
        <v>12</v>
      </c>
      <c r="D277" t="s">
        <v>494</v>
      </c>
      <c r="E277" t="s">
        <v>30</v>
      </c>
      <c r="F277" t="s">
        <v>51</v>
      </c>
      <c r="G277" t="s">
        <v>115</v>
      </c>
      <c r="H277" t="s">
        <v>40</v>
      </c>
      <c r="I277">
        <v>15</v>
      </c>
      <c r="J277">
        <v>1999</v>
      </c>
      <c r="K277">
        <v>29985</v>
      </c>
      <c r="L277">
        <v>5</v>
      </c>
      <c r="M277">
        <v>28485.75</v>
      </c>
      <c r="N277">
        <v>7</v>
      </c>
      <c r="O277" t="s">
        <v>88</v>
      </c>
      <c r="P277" t="s">
        <v>34</v>
      </c>
      <c r="R277">
        <v>27800</v>
      </c>
    </row>
    <row r="278" spans="1:18" ht="15" customHeight="1" x14ac:dyDescent="0.3">
      <c r="A278" t="s">
        <v>548</v>
      </c>
      <c r="B278" t="s">
        <v>19</v>
      </c>
      <c r="C278">
        <v>1</v>
      </c>
      <c r="D278" t="s">
        <v>443</v>
      </c>
      <c r="E278" t="s">
        <v>118</v>
      </c>
      <c r="F278" t="s">
        <v>31</v>
      </c>
      <c r="G278" t="s">
        <v>181</v>
      </c>
      <c r="H278" t="s">
        <v>24</v>
      </c>
      <c r="I278">
        <v>10</v>
      </c>
      <c r="J278">
        <v>499</v>
      </c>
      <c r="K278">
        <v>4990</v>
      </c>
      <c r="L278">
        <v>0</v>
      </c>
      <c r="M278">
        <v>4990</v>
      </c>
      <c r="N278">
        <v>5</v>
      </c>
      <c r="O278" t="s">
        <v>25</v>
      </c>
      <c r="P278" t="s">
        <v>60</v>
      </c>
      <c r="R278">
        <v>5700</v>
      </c>
    </row>
    <row r="279" spans="1:18" ht="15" customHeight="1" x14ac:dyDescent="0.3">
      <c r="A279" t="s">
        <v>549</v>
      </c>
      <c r="B279" t="s">
        <v>28</v>
      </c>
      <c r="C279">
        <v>2</v>
      </c>
      <c r="D279" t="s">
        <v>265</v>
      </c>
      <c r="E279" t="s">
        <v>38</v>
      </c>
      <c r="F279" t="s">
        <v>51</v>
      </c>
      <c r="G279" t="s">
        <v>52</v>
      </c>
      <c r="H279" t="s">
        <v>40</v>
      </c>
      <c r="I279">
        <v>12</v>
      </c>
      <c r="J279">
        <v>2999</v>
      </c>
      <c r="K279">
        <v>35988</v>
      </c>
      <c r="L279">
        <v>0</v>
      </c>
      <c r="M279">
        <v>35988</v>
      </c>
      <c r="N279">
        <v>9</v>
      </c>
      <c r="O279" t="s">
        <v>25</v>
      </c>
      <c r="P279" t="s">
        <v>53</v>
      </c>
      <c r="R279">
        <v>33600</v>
      </c>
    </row>
    <row r="280" spans="1:18" ht="15" customHeight="1" x14ac:dyDescent="0.3">
      <c r="A280" t="s">
        <v>550</v>
      </c>
      <c r="B280" t="s">
        <v>36</v>
      </c>
      <c r="C280">
        <v>3</v>
      </c>
      <c r="D280" t="s">
        <v>388</v>
      </c>
      <c r="E280" t="s">
        <v>50</v>
      </c>
      <c r="F280" t="s">
        <v>22</v>
      </c>
      <c r="G280" t="s">
        <v>121</v>
      </c>
      <c r="H280" t="s">
        <v>24</v>
      </c>
      <c r="I280">
        <v>9</v>
      </c>
      <c r="J280">
        <v>1999</v>
      </c>
      <c r="K280">
        <v>17991</v>
      </c>
      <c r="L280">
        <v>15</v>
      </c>
      <c r="M280">
        <v>15292.35</v>
      </c>
      <c r="N280">
        <v>10</v>
      </c>
      <c r="O280" t="s">
        <v>25</v>
      </c>
      <c r="P280" t="s">
        <v>60</v>
      </c>
      <c r="R280">
        <v>14400</v>
      </c>
    </row>
    <row r="281" spans="1:18" ht="15" customHeight="1" x14ac:dyDescent="0.3">
      <c r="A281" t="s">
        <v>551</v>
      </c>
      <c r="B281" t="s">
        <v>42</v>
      </c>
      <c r="C281">
        <v>4</v>
      </c>
      <c r="D281" t="s">
        <v>552</v>
      </c>
      <c r="E281" t="s">
        <v>50</v>
      </c>
      <c r="F281" t="s">
        <v>31</v>
      </c>
      <c r="G281" t="s">
        <v>251</v>
      </c>
      <c r="H281" t="s">
        <v>24</v>
      </c>
      <c r="I281">
        <v>15</v>
      </c>
      <c r="J281">
        <v>2999</v>
      </c>
      <c r="K281">
        <v>44985</v>
      </c>
      <c r="L281">
        <v>0</v>
      </c>
      <c r="M281">
        <v>44985</v>
      </c>
      <c r="N281">
        <v>8</v>
      </c>
      <c r="O281" t="s">
        <v>25</v>
      </c>
      <c r="P281" t="s">
        <v>60</v>
      </c>
      <c r="R281">
        <v>42400</v>
      </c>
    </row>
    <row r="282" spans="1:18" ht="15" customHeight="1" x14ac:dyDescent="0.3">
      <c r="A282" t="s">
        <v>553</v>
      </c>
      <c r="B282" t="s">
        <v>48</v>
      </c>
      <c r="C282">
        <v>5</v>
      </c>
      <c r="D282" t="s">
        <v>554</v>
      </c>
      <c r="E282" t="s">
        <v>30</v>
      </c>
      <c r="F282" t="s">
        <v>31</v>
      </c>
      <c r="G282" t="s">
        <v>251</v>
      </c>
      <c r="H282" t="s">
        <v>33</v>
      </c>
      <c r="I282">
        <v>3</v>
      </c>
      <c r="J282">
        <v>299</v>
      </c>
      <c r="K282">
        <v>897</v>
      </c>
      <c r="L282">
        <v>5</v>
      </c>
      <c r="M282">
        <v>852.15</v>
      </c>
      <c r="N282">
        <v>8</v>
      </c>
      <c r="O282" t="s">
        <v>46</v>
      </c>
      <c r="P282" t="s">
        <v>34</v>
      </c>
      <c r="R282">
        <v>900</v>
      </c>
    </row>
    <row r="283" spans="1:18" ht="15" customHeight="1" x14ac:dyDescent="0.3">
      <c r="A283" t="s">
        <v>555</v>
      </c>
      <c r="B283" t="s">
        <v>55</v>
      </c>
      <c r="C283">
        <v>6</v>
      </c>
      <c r="D283" t="s">
        <v>556</v>
      </c>
      <c r="E283" t="s">
        <v>57</v>
      </c>
      <c r="F283" t="s">
        <v>44</v>
      </c>
      <c r="G283" t="s">
        <v>125</v>
      </c>
      <c r="H283" t="s">
        <v>24</v>
      </c>
      <c r="I283">
        <v>12</v>
      </c>
      <c r="J283">
        <v>1499</v>
      </c>
      <c r="K283">
        <v>17988</v>
      </c>
      <c r="L283">
        <v>0</v>
      </c>
      <c r="M283">
        <v>17988</v>
      </c>
      <c r="N283">
        <v>1</v>
      </c>
      <c r="O283" t="s">
        <v>25</v>
      </c>
      <c r="P283" t="s">
        <v>26</v>
      </c>
      <c r="R283">
        <v>16800</v>
      </c>
    </row>
    <row r="284" spans="1:18" ht="15" customHeight="1" x14ac:dyDescent="0.3">
      <c r="A284" t="s">
        <v>557</v>
      </c>
      <c r="B284" t="s">
        <v>63</v>
      </c>
      <c r="C284">
        <v>7</v>
      </c>
      <c r="D284" t="s">
        <v>253</v>
      </c>
      <c r="E284" t="s">
        <v>118</v>
      </c>
      <c r="F284" t="s">
        <v>44</v>
      </c>
      <c r="G284" t="s">
        <v>45</v>
      </c>
      <c r="H284" t="s">
        <v>40</v>
      </c>
      <c r="I284">
        <v>8</v>
      </c>
      <c r="J284">
        <v>7999</v>
      </c>
      <c r="K284">
        <v>63992</v>
      </c>
      <c r="L284">
        <v>10</v>
      </c>
      <c r="M284">
        <v>57592.800000000003</v>
      </c>
      <c r="N284">
        <v>1</v>
      </c>
      <c r="O284" t="s">
        <v>25</v>
      </c>
      <c r="P284" t="s">
        <v>34</v>
      </c>
      <c r="R284">
        <v>51800</v>
      </c>
    </row>
    <row r="285" spans="1:18" ht="15" customHeight="1" x14ac:dyDescent="0.3">
      <c r="A285" t="s">
        <v>558</v>
      </c>
      <c r="B285" t="s">
        <v>67</v>
      </c>
      <c r="C285">
        <v>8</v>
      </c>
      <c r="D285" t="s">
        <v>161</v>
      </c>
      <c r="E285" t="s">
        <v>118</v>
      </c>
      <c r="F285" t="s">
        <v>44</v>
      </c>
      <c r="G285" t="s">
        <v>85</v>
      </c>
      <c r="H285" t="s">
        <v>24</v>
      </c>
      <c r="I285">
        <v>12</v>
      </c>
      <c r="J285">
        <v>7999</v>
      </c>
      <c r="K285">
        <v>95988</v>
      </c>
      <c r="L285">
        <v>0</v>
      </c>
      <c r="M285">
        <v>95988</v>
      </c>
      <c r="N285">
        <v>1</v>
      </c>
      <c r="O285" t="s">
        <v>88</v>
      </c>
      <c r="P285" t="s">
        <v>60</v>
      </c>
      <c r="R285">
        <v>88600</v>
      </c>
    </row>
    <row r="286" spans="1:18" ht="15" customHeight="1" x14ac:dyDescent="0.3">
      <c r="A286" t="s">
        <v>559</v>
      </c>
      <c r="B286" t="s">
        <v>70</v>
      </c>
      <c r="C286">
        <v>9</v>
      </c>
      <c r="D286" t="s">
        <v>417</v>
      </c>
      <c r="E286" t="s">
        <v>94</v>
      </c>
      <c r="F286" t="s">
        <v>44</v>
      </c>
      <c r="G286" t="s">
        <v>58</v>
      </c>
      <c r="H286" t="s">
        <v>24</v>
      </c>
      <c r="I286">
        <v>15</v>
      </c>
      <c r="J286">
        <v>299</v>
      </c>
      <c r="K286">
        <v>4485</v>
      </c>
      <c r="L286">
        <v>20</v>
      </c>
      <c r="M286">
        <v>3588</v>
      </c>
      <c r="N286">
        <v>7</v>
      </c>
      <c r="O286" t="s">
        <v>25</v>
      </c>
      <c r="P286" t="s">
        <v>53</v>
      </c>
      <c r="R286">
        <v>3500</v>
      </c>
    </row>
    <row r="287" spans="1:18" ht="15" customHeight="1" x14ac:dyDescent="0.3">
      <c r="A287" t="s">
        <v>560</v>
      </c>
      <c r="B287" t="s">
        <v>75</v>
      </c>
      <c r="C287">
        <v>10</v>
      </c>
      <c r="D287" t="s">
        <v>76</v>
      </c>
      <c r="E287" t="s">
        <v>118</v>
      </c>
      <c r="F287" t="s">
        <v>44</v>
      </c>
      <c r="G287" t="s">
        <v>171</v>
      </c>
      <c r="H287" t="s">
        <v>33</v>
      </c>
      <c r="I287">
        <v>6</v>
      </c>
      <c r="J287">
        <v>499</v>
      </c>
      <c r="K287">
        <v>2994</v>
      </c>
      <c r="L287">
        <v>20</v>
      </c>
      <c r="M287">
        <v>2395.1999999999998</v>
      </c>
      <c r="N287">
        <v>1</v>
      </c>
      <c r="O287" t="s">
        <v>25</v>
      </c>
      <c r="P287" t="s">
        <v>34</v>
      </c>
      <c r="R287">
        <v>2700</v>
      </c>
    </row>
    <row r="288" spans="1:18" ht="15" customHeight="1" x14ac:dyDescent="0.3">
      <c r="A288" t="s">
        <v>561</v>
      </c>
      <c r="B288" t="s">
        <v>79</v>
      </c>
      <c r="C288">
        <v>11</v>
      </c>
      <c r="D288" t="s">
        <v>562</v>
      </c>
      <c r="E288" t="s">
        <v>21</v>
      </c>
      <c r="F288" t="s">
        <v>22</v>
      </c>
      <c r="G288" t="s">
        <v>152</v>
      </c>
      <c r="H288" t="s">
        <v>40</v>
      </c>
      <c r="I288">
        <v>6</v>
      </c>
      <c r="J288">
        <v>499</v>
      </c>
      <c r="K288">
        <v>2994</v>
      </c>
      <c r="L288">
        <v>20</v>
      </c>
      <c r="M288">
        <v>2395.1999999999998</v>
      </c>
      <c r="N288">
        <v>8</v>
      </c>
      <c r="O288" t="s">
        <v>25</v>
      </c>
      <c r="P288" t="s">
        <v>53</v>
      </c>
      <c r="R288">
        <v>2200</v>
      </c>
    </row>
    <row r="289" spans="1:18" ht="15" customHeight="1" x14ac:dyDescent="0.3">
      <c r="A289" t="s">
        <v>563</v>
      </c>
      <c r="B289" t="s">
        <v>83</v>
      </c>
      <c r="C289">
        <v>12</v>
      </c>
      <c r="D289" t="s">
        <v>301</v>
      </c>
      <c r="E289" t="s">
        <v>50</v>
      </c>
      <c r="F289" t="s">
        <v>44</v>
      </c>
      <c r="G289" t="s">
        <v>45</v>
      </c>
      <c r="H289" t="s">
        <v>40</v>
      </c>
      <c r="I289">
        <v>6</v>
      </c>
      <c r="J289">
        <v>12999</v>
      </c>
      <c r="K289">
        <v>77994</v>
      </c>
      <c r="L289">
        <v>15</v>
      </c>
      <c r="M289">
        <v>66294.899999999994</v>
      </c>
      <c r="N289">
        <v>4</v>
      </c>
      <c r="O289" t="s">
        <v>59</v>
      </c>
      <c r="P289" t="s">
        <v>34</v>
      </c>
      <c r="Q289" t="s">
        <v>195</v>
      </c>
      <c r="R289">
        <v>59300</v>
      </c>
    </row>
    <row r="290" spans="1:18" ht="15" customHeight="1" x14ac:dyDescent="0.3">
      <c r="A290" t="s">
        <v>564</v>
      </c>
      <c r="B290" t="s">
        <v>19</v>
      </c>
      <c r="C290">
        <v>1</v>
      </c>
      <c r="D290" t="s">
        <v>565</v>
      </c>
      <c r="E290" t="s">
        <v>57</v>
      </c>
      <c r="F290" t="s">
        <v>22</v>
      </c>
      <c r="G290" t="s">
        <v>39</v>
      </c>
      <c r="H290" t="s">
        <v>33</v>
      </c>
      <c r="I290">
        <v>14</v>
      </c>
      <c r="J290">
        <v>299</v>
      </c>
      <c r="K290">
        <v>4186</v>
      </c>
      <c r="L290">
        <v>10</v>
      </c>
      <c r="M290">
        <v>3767.4</v>
      </c>
      <c r="N290">
        <v>1</v>
      </c>
      <c r="O290" t="s">
        <v>59</v>
      </c>
      <c r="P290" t="s">
        <v>26</v>
      </c>
      <c r="R290">
        <v>4000</v>
      </c>
    </row>
    <row r="291" spans="1:18" ht="15" customHeight="1" x14ac:dyDescent="0.3">
      <c r="A291" t="s">
        <v>566</v>
      </c>
      <c r="B291" t="s">
        <v>28</v>
      </c>
      <c r="C291">
        <v>2</v>
      </c>
      <c r="D291" t="s">
        <v>148</v>
      </c>
      <c r="E291" t="s">
        <v>50</v>
      </c>
      <c r="F291" t="s">
        <v>31</v>
      </c>
      <c r="G291" t="s">
        <v>77</v>
      </c>
      <c r="H291" t="s">
        <v>40</v>
      </c>
      <c r="I291">
        <v>8</v>
      </c>
      <c r="J291">
        <v>299</v>
      </c>
      <c r="K291">
        <v>2392</v>
      </c>
      <c r="L291">
        <v>5</v>
      </c>
      <c r="M291">
        <v>2272.4</v>
      </c>
      <c r="N291">
        <v>5</v>
      </c>
      <c r="O291" t="s">
        <v>25</v>
      </c>
      <c r="P291" t="s">
        <v>53</v>
      </c>
      <c r="R291">
        <v>2500</v>
      </c>
    </row>
    <row r="292" spans="1:18" ht="15" customHeight="1" x14ac:dyDescent="0.3">
      <c r="A292" t="s">
        <v>567</v>
      </c>
      <c r="B292" t="s">
        <v>36</v>
      </c>
      <c r="C292">
        <v>3</v>
      </c>
      <c r="D292" t="s">
        <v>568</v>
      </c>
      <c r="E292" t="s">
        <v>65</v>
      </c>
      <c r="F292" t="s">
        <v>72</v>
      </c>
      <c r="G292" t="s">
        <v>112</v>
      </c>
      <c r="H292" t="s">
        <v>33</v>
      </c>
      <c r="I292">
        <v>2</v>
      </c>
      <c r="J292">
        <v>12999</v>
      </c>
      <c r="K292">
        <v>25998</v>
      </c>
      <c r="L292">
        <v>0</v>
      </c>
      <c r="M292">
        <v>25998</v>
      </c>
      <c r="N292">
        <v>9</v>
      </c>
      <c r="O292" t="s">
        <v>25</v>
      </c>
      <c r="P292" t="s">
        <v>26</v>
      </c>
      <c r="R292">
        <v>22700</v>
      </c>
    </row>
    <row r="293" spans="1:18" ht="15" customHeight="1" x14ac:dyDescent="0.3">
      <c r="A293" t="s">
        <v>569</v>
      </c>
      <c r="B293" t="s">
        <v>42</v>
      </c>
      <c r="C293">
        <v>4</v>
      </c>
      <c r="D293" t="s">
        <v>97</v>
      </c>
      <c r="E293" t="s">
        <v>94</v>
      </c>
      <c r="F293" t="s">
        <v>22</v>
      </c>
      <c r="G293" t="s">
        <v>152</v>
      </c>
      <c r="H293" t="s">
        <v>24</v>
      </c>
      <c r="I293">
        <v>5</v>
      </c>
      <c r="J293">
        <v>1499</v>
      </c>
      <c r="K293">
        <v>7495</v>
      </c>
      <c r="L293">
        <v>10</v>
      </c>
      <c r="M293">
        <v>6745.5</v>
      </c>
      <c r="N293">
        <v>7</v>
      </c>
      <c r="O293" t="s">
        <v>59</v>
      </c>
      <c r="P293" t="s">
        <v>122</v>
      </c>
      <c r="Q293" t="s">
        <v>188</v>
      </c>
      <c r="R293">
        <v>6600</v>
      </c>
    </row>
    <row r="294" spans="1:18" ht="15" customHeight="1" x14ac:dyDescent="0.3">
      <c r="A294" t="s">
        <v>570</v>
      </c>
      <c r="B294" t="s">
        <v>48</v>
      </c>
      <c r="C294">
        <v>5</v>
      </c>
      <c r="D294" t="s">
        <v>467</v>
      </c>
      <c r="E294" t="s">
        <v>94</v>
      </c>
      <c r="F294" t="s">
        <v>22</v>
      </c>
      <c r="G294" t="s">
        <v>39</v>
      </c>
      <c r="H294" t="s">
        <v>33</v>
      </c>
      <c r="I294">
        <v>2</v>
      </c>
      <c r="J294">
        <v>799</v>
      </c>
      <c r="K294">
        <v>1598</v>
      </c>
      <c r="L294">
        <v>0</v>
      </c>
      <c r="M294">
        <v>1598</v>
      </c>
      <c r="N294">
        <v>3</v>
      </c>
      <c r="O294" t="s">
        <v>25</v>
      </c>
      <c r="P294" t="s">
        <v>122</v>
      </c>
      <c r="R294">
        <v>1600</v>
      </c>
    </row>
    <row r="295" spans="1:18" ht="15" customHeight="1" x14ac:dyDescent="0.3">
      <c r="A295" t="s">
        <v>571</v>
      </c>
      <c r="B295" t="s">
        <v>55</v>
      </c>
      <c r="C295">
        <v>6</v>
      </c>
      <c r="D295" t="s">
        <v>374</v>
      </c>
      <c r="E295" t="s">
        <v>65</v>
      </c>
      <c r="F295" t="s">
        <v>44</v>
      </c>
      <c r="G295" t="s">
        <v>125</v>
      </c>
      <c r="H295" t="s">
        <v>40</v>
      </c>
      <c r="I295">
        <v>8</v>
      </c>
      <c r="J295">
        <v>1499</v>
      </c>
      <c r="K295">
        <v>11992</v>
      </c>
      <c r="L295">
        <v>0</v>
      </c>
      <c r="M295">
        <v>11992</v>
      </c>
      <c r="N295">
        <v>2</v>
      </c>
      <c r="O295" t="s">
        <v>25</v>
      </c>
      <c r="P295" t="s">
        <v>122</v>
      </c>
      <c r="R295">
        <v>13200</v>
      </c>
    </row>
    <row r="296" spans="1:18" ht="15" customHeight="1" x14ac:dyDescent="0.3">
      <c r="A296" t="s">
        <v>572</v>
      </c>
      <c r="B296" t="s">
        <v>63</v>
      </c>
      <c r="C296">
        <v>7</v>
      </c>
      <c r="D296" t="s">
        <v>573</v>
      </c>
      <c r="E296" t="s">
        <v>50</v>
      </c>
      <c r="F296" t="s">
        <v>51</v>
      </c>
      <c r="G296" t="s">
        <v>115</v>
      </c>
      <c r="H296" t="s">
        <v>40</v>
      </c>
      <c r="I296">
        <v>3</v>
      </c>
      <c r="J296">
        <v>499</v>
      </c>
      <c r="K296">
        <v>1497</v>
      </c>
      <c r="L296">
        <v>5</v>
      </c>
      <c r="M296">
        <v>1422.15</v>
      </c>
      <c r="N296">
        <v>6</v>
      </c>
      <c r="O296" t="s">
        <v>25</v>
      </c>
      <c r="P296" t="s">
        <v>60</v>
      </c>
      <c r="R296">
        <v>1500</v>
      </c>
    </row>
    <row r="297" spans="1:18" ht="15" customHeight="1" x14ac:dyDescent="0.3">
      <c r="A297" t="s">
        <v>574</v>
      </c>
      <c r="B297" t="s">
        <v>67</v>
      </c>
      <c r="C297">
        <v>8</v>
      </c>
      <c r="D297" t="s">
        <v>575</v>
      </c>
      <c r="E297" t="s">
        <v>38</v>
      </c>
      <c r="F297" t="s">
        <v>31</v>
      </c>
      <c r="G297" t="s">
        <v>251</v>
      </c>
      <c r="H297" t="s">
        <v>40</v>
      </c>
      <c r="I297">
        <v>9</v>
      </c>
      <c r="J297">
        <v>7999</v>
      </c>
      <c r="K297">
        <v>71991</v>
      </c>
      <c r="L297">
        <v>5</v>
      </c>
      <c r="M297">
        <v>68391.45</v>
      </c>
      <c r="N297">
        <v>2</v>
      </c>
      <c r="O297" t="s">
        <v>25</v>
      </c>
      <c r="P297" t="s">
        <v>53</v>
      </c>
      <c r="R297">
        <v>60600</v>
      </c>
    </row>
    <row r="298" spans="1:18" ht="15" customHeight="1" x14ac:dyDescent="0.3">
      <c r="A298" t="s">
        <v>576</v>
      </c>
      <c r="B298" t="s">
        <v>70</v>
      </c>
      <c r="C298">
        <v>9</v>
      </c>
      <c r="D298" t="s">
        <v>107</v>
      </c>
      <c r="E298" t="s">
        <v>50</v>
      </c>
      <c r="F298" t="s">
        <v>31</v>
      </c>
      <c r="G298" t="s">
        <v>32</v>
      </c>
      <c r="H298" t="s">
        <v>40</v>
      </c>
      <c r="I298">
        <v>6</v>
      </c>
      <c r="J298">
        <v>24999</v>
      </c>
      <c r="K298">
        <v>149994</v>
      </c>
      <c r="L298">
        <v>0</v>
      </c>
      <c r="M298">
        <v>149994</v>
      </c>
      <c r="N298">
        <v>10</v>
      </c>
      <c r="O298" t="s">
        <v>25</v>
      </c>
      <c r="P298" t="s">
        <v>60</v>
      </c>
      <c r="R298">
        <v>128500</v>
      </c>
    </row>
    <row r="299" spans="1:18" ht="15" customHeight="1" x14ac:dyDescent="0.3">
      <c r="A299" t="s">
        <v>577</v>
      </c>
      <c r="B299" t="s">
        <v>75</v>
      </c>
      <c r="C299">
        <v>10</v>
      </c>
      <c r="D299" t="s">
        <v>258</v>
      </c>
      <c r="E299" t="s">
        <v>94</v>
      </c>
      <c r="F299" t="s">
        <v>31</v>
      </c>
      <c r="G299" t="s">
        <v>181</v>
      </c>
      <c r="H299" t="s">
        <v>24</v>
      </c>
      <c r="I299">
        <v>15</v>
      </c>
      <c r="J299">
        <v>1999</v>
      </c>
      <c r="K299">
        <v>29985</v>
      </c>
      <c r="L299">
        <v>0</v>
      </c>
      <c r="M299">
        <v>29985</v>
      </c>
      <c r="N299">
        <v>1</v>
      </c>
      <c r="O299" t="s">
        <v>46</v>
      </c>
      <c r="P299" t="s">
        <v>60</v>
      </c>
      <c r="R299">
        <v>27000</v>
      </c>
    </row>
    <row r="300" spans="1:18" ht="15" customHeight="1" x14ac:dyDescent="0.3">
      <c r="A300" t="s">
        <v>578</v>
      </c>
      <c r="B300" t="s">
        <v>79</v>
      </c>
      <c r="C300">
        <v>11</v>
      </c>
      <c r="D300" t="s">
        <v>579</v>
      </c>
      <c r="E300" t="s">
        <v>65</v>
      </c>
      <c r="F300" t="s">
        <v>72</v>
      </c>
      <c r="G300" t="s">
        <v>103</v>
      </c>
      <c r="H300" t="s">
        <v>24</v>
      </c>
      <c r="I300">
        <v>7</v>
      </c>
      <c r="J300">
        <v>24999</v>
      </c>
      <c r="K300">
        <v>174993</v>
      </c>
      <c r="L300">
        <v>15</v>
      </c>
      <c r="M300">
        <v>148744.04999999999</v>
      </c>
      <c r="N300">
        <v>3</v>
      </c>
      <c r="O300" t="s">
        <v>25</v>
      </c>
      <c r="P300" t="s">
        <v>53</v>
      </c>
      <c r="R300">
        <v>138700</v>
      </c>
    </row>
    <row r="301" spans="1:18" ht="15" customHeight="1" x14ac:dyDescent="0.3">
      <c r="A301" t="s">
        <v>580</v>
      </c>
      <c r="B301" t="s">
        <v>83</v>
      </c>
      <c r="C301">
        <v>12</v>
      </c>
      <c r="D301" t="s">
        <v>581</v>
      </c>
      <c r="E301" t="s">
        <v>50</v>
      </c>
      <c r="F301" t="s">
        <v>31</v>
      </c>
      <c r="G301" t="s">
        <v>251</v>
      </c>
      <c r="H301" t="s">
        <v>33</v>
      </c>
      <c r="I301">
        <v>5</v>
      </c>
      <c r="J301">
        <v>4999</v>
      </c>
      <c r="K301">
        <v>24995</v>
      </c>
      <c r="L301">
        <v>15</v>
      </c>
      <c r="M301">
        <v>21245.75</v>
      </c>
      <c r="N301">
        <v>9</v>
      </c>
      <c r="O301" t="s">
        <v>25</v>
      </c>
      <c r="P301" t="s">
        <v>60</v>
      </c>
      <c r="R301">
        <v>19800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Normal="100" workbookViewId="0">
      <pane ySplit="1" topLeftCell="A5" activePane="bottomLeft" state="frozen"/>
      <selection pane="bottomLeft"/>
    </sheetView>
  </sheetViews>
  <sheetFormatPr defaultColWidth="8.6640625" defaultRowHeight="14.4" x14ac:dyDescent="0.3"/>
  <cols>
    <col min="1" max="1" width="12.5546875" bestFit="1" customWidth="1"/>
    <col min="2" max="2" width="16.44140625" bestFit="1" customWidth="1"/>
    <col min="3" max="3" width="14.88671875" bestFit="1" customWidth="1"/>
    <col min="4" max="4" width="19" bestFit="1" customWidth="1"/>
    <col min="5" max="5" width="21.44140625" bestFit="1" customWidth="1"/>
    <col min="6" max="6" width="21.88671875" bestFit="1" customWidth="1"/>
    <col min="7" max="7" width="17.21875" bestFit="1" customWidth="1"/>
    <col min="8" max="8" width="8.6640625" bestFit="1" customWidth="1"/>
    <col min="9" max="9" width="16.21875" bestFit="1" customWidth="1"/>
    <col min="10" max="10" width="16.88671875" bestFit="1" customWidth="1"/>
  </cols>
  <sheetData>
    <row r="1" spans="1:10" ht="15" customHeight="1" x14ac:dyDescent="0.3">
      <c r="A1" s="1" t="s">
        <v>1</v>
      </c>
      <c r="B1" s="1" t="s">
        <v>2</v>
      </c>
      <c r="C1" s="1" t="s">
        <v>582</v>
      </c>
      <c r="D1" s="1" t="s">
        <v>583</v>
      </c>
      <c r="E1" s="1" t="s">
        <v>584</v>
      </c>
      <c r="F1" s="1" t="s">
        <v>17</v>
      </c>
      <c r="G1" s="1" t="s">
        <v>585</v>
      </c>
      <c r="H1" s="1" t="s">
        <v>586</v>
      </c>
      <c r="I1" s="1" t="s">
        <v>587</v>
      </c>
      <c r="J1" s="1" t="s">
        <v>588</v>
      </c>
    </row>
    <row r="2" spans="1:10" ht="15" customHeight="1" x14ac:dyDescent="0.3">
      <c r="A2" s="3" t="s">
        <v>19</v>
      </c>
      <c r="B2" s="3">
        <v>1</v>
      </c>
      <c r="C2" s="3">
        <f>COUNTIFS(Raw_Data!B:B,A2)</f>
        <v>25</v>
      </c>
      <c r="D2" s="4">
        <f>SUMIF(Raw_Data!B:B,A2,Raw_Data!K:K)</f>
        <v>816327</v>
      </c>
      <c r="E2" s="4">
        <f>SUMIF(Raw_Data!B:B,A2,Raw_Data!M:M)</f>
        <v>708897.35</v>
      </c>
      <c r="F2" s="4">
        <f>SUMIF(Raw_Data!B:B,A2,Raw_Data!R:R)</f>
        <v>722400</v>
      </c>
      <c r="G2" s="5">
        <f t="shared" ref="G2:G13" si="0">IFERROR(E2/F2,0)</f>
        <v>0.98130862403100771</v>
      </c>
      <c r="H2" s="3">
        <f>COUNTIFS(Raw_Data!B:B,A2,Raw_Data!O:O,"Returned")</f>
        <v>6</v>
      </c>
      <c r="I2" s="5">
        <f t="shared" ref="I2:I13" si="1">IFERROR(H2/C2,0)</f>
        <v>0.24</v>
      </c>
      <c r="J2" s="5">
        <v>0</v>
      </c>
    </row>
    <row r="3" spans="1:10" ht="15" customHeight="1" x14ac:dyDescent="0.3">
      <c r="A3" s="2" t="s">
        <v>28</v>
      </c>
      <c r="B3" s="2">
        <v>2</v>
      </c>
      <c r="C3" s="2">
        <f>COUNTIFS(Raw_Data!B:B,A3)</f>
        <v>25</v>
      </c>
      <c r="D3" s="6">
        <f>SUMIF(Raw_Data!B:B,A3,Raw_Data!K:K)</f>
        <v>1244097</v>
      </c>
      <c r="E3" s="6">
        <f>SUMIF(Raw_Data!B:B,A3,Raw_Data!M:M)</f>
        <v>1118868.6499999999</v>
      </c>
      <c r="F3" s="6">
        <f>SUMIF(Raw_Data!B:B,A3,Raw_Data!R:R)</f>
        <v>1140500</v>
      </c>
      <c r="G3" s="7">
        <f t="shared" si="0"/>
        <v>0.98103345024112221</v>
      </c>
      <c r="H3" s="2">
        <f>COUNTIFS(Raw_Data!B:B,A3,Raw_Data!O:O,"Returned")</f>
        <v>6</v>
      </c>
      <c r="I3" s="7">
        <f t="shared" si="1"/>
        <v>0.24</v>
      </c>
      <c r="J3" s="7">
        <f t="shared" ref="J3:J13" si="2">IFERROR((E3-E2)/E2,0)</f>
        <v>0.57832251735741425</v>
      </c>
    </row>
    <row r="4" spans="1:10" ht="15" customHeight="1" x14ac:dyDescent="0.3">
      <c r="A4" s="3" t="s">
        <v>36</v>
      </c>
      <c r="B4" s="3">
        <v>3</v>
      </c>
      <c r="C4" s="3">
        <f>COUNTIFS(Raw_Data!B:B,A4)</f>
        <v>25</v>
      </c>
      <c r="D4" s="4">
        <f>SUMIF(Raw_Data!B:B,A4,Raw_Data!K:K)</f>
        <v>1767444</v>
      </c>
      <c r="E4" s="4">
        <f>SUMIF(Raw_Data!B:B,A4,Raw_Data!M:M)</f>
        <v>1520021.95</v>
      </c>
      <c r="F4" s="4">
        <f>SUMIF(Raw_Data!B:B,A4,Raw_Data!R:R)</f>
        <v>1427500</v>
      </c>
      <c r="G4" s="5">
        <f t="shared" si="0"/>
        <v>1.0648139754816113</v>
      </c>
      <c r="H4" s="3">
        <f>COUNTIFS(Raw_Data!B:B,A4,Raw_Data!O:O,"Returned")</f>
        <v>0</v>
      </c>
      <c r="I4" s="5">
        <f t="shared" si="1"/>
        <v>0</v>
      </c>
      <c r="J4" s="5">
        <f t="shared" si="2"/>
        <v>0.35853475740874508</v>
      </c>
    </row>
    <row r="5" spans="1:10" ht="15" customHeight="1" x14ac:dyDescent="0.3">
      <c r="A5" s="2" t="s">
        <v>42</v>
      </c>
      <c r="B5" s="2">
        <v>4</v>
      </c>
      <c r="C5" s="2">
        <f>COUNTIFS(Raw_Data!B:B,A5)</f>
        <v>25</v>
      </c>
      <c r="D5" s="6">
        <f>SUMIF(Raw_Data!B:B,A5,Raw_Data!K:K)</f>
        <v>1743268</v>
      </c>
      <c r="E5" s="6">
        <f>SUMIF(Raw_Data!B:B,A5,Raw_Data!M:M)</f>
        <v>1560955.05</v>
      </c>
      <c r="F5" s="6">
        <f>SUMIF(Raw_Data!B:B,A5,Raw_Data!R:R)</f>
        <v>1443900</v>
      </c>
      <c r="G5" s="7">
        <f t="shared" si="0"/>
        <v>1.0810686681903179</v>
      </c>
      <c r="H5" s="2">
        <f>COUNTIFS(Raw_Data!B:B,A5,Raw_Data!O:O,"Returned")</f>
        <v>3</v>
      </c>
      <c r="I5" s="7">
        <f t="shared" si="1"/>
        <v>0.12</v>
      </c>
      <c r="J5" s="7">
        <f t="shared" si="2"/>
        <v>2.6929282172537108E-2</v>
      </c>
    </row>
    <row r="6" spans="1:10" ht="15" customHeight="1" x14ac:dyDescent="0.3">
      <c r="A6" s="3" t="s">
        <v>48</v>
      </c>
      <c r="B6" s="3">
        <v>5</v>
      </c>
      <c r="C6" s="3">
        <f>COUNTIFS(Raw_Data!B:B,A6)</f>
        <v>25</v>
      </c>
      <c r="D6" s="4">
        <f>SUMIF(Raw_Data!B:B,A6,Raw_Data!K:K)</f>
        <v>847915</v>
      </c>
      <c r="E6" s="4">
        <f>SUMIF(Raw_Data!B:B,A6,Raw_Data!M:M)</f>
        <v>791762.4</v>
      </c>
      <c r="F6" s="4">
        <f>SUMIF(Raw_Data!B:B,A6,Raw_Data!R:R)</f>
        <v>756900</v>
      </c>
      <c r="G6" s="5">
        <f t="shared" si="0"/>
        <v>1.0460594530321046</v>
      </c>
      <c r="H6" s="3">
        <f>COUNTIFS(Raw_Data!B:B,A6,Raw_Data!O:O,"Returned")</f>
        <v>5</v>
      </c>
      <c r="I6" s="5">
        <f t="shared" si="1"/>
        <v>0.2</v>
      </c>
      <c r="J6" s="5">
        <f t="shared" si="2"/>
        <v>-0.49277053173312069</v>
      </c>
    </row>
    <row r="7" spans="1:10" ht="15" customHeight="1" x14ac:dyDescent="0.3">
      <c r="A7" s="2" t="s">
        <v>55</v>
      </c>
      <c r="B7" s="2">
        <v>6</v>
      </c>
      <c r="C7" s="2">
        <f>COUNTIFS(Raw_Data!B:B,A7)</f>
        <v>25</v>
      </c>
      <c r="D7" s="6">
        <f>SUMIF(Raw_Data!B:B,A7,Raw_Data!K:K)</f>
        <v>1652751</v>
      </c>
      <c r="E7" s="6">
        <f>SUMIF(Raw_Data!B:B,A7,Raw_Data!M:M)</f>
        <v>1577165.6</v>
      </c>
      <c r="F7" s="6">
        <f>SUMIF(Raw_Data!B:B,A7,Raw_Data!R:R)</f>
        <v>1543100</v>
      </c>
      <c r="G7" s="7">
        <f t="shared" si="0"/>
        <v>1.02207608061694</v>
      </c>
      <c r="H7" s="2">
        <f>COUNTIFS(Raw_Data!B:B,A7,Raw_Data!O:O,"Returned")</f>
        <v>4</v>
      </c>
      <c r="I7" s="7">
        <f t="shared" si="1"/>
        <v>0.16</v>
      </c>
      <c r="J7" s="7">
        <f t="shared" si="2"/>
        <v>0.99196829755997518</v>
      </c>
    </row>
    <row r="8" spans="1:10" ht="15" customHeight="1" x14ac:dyDescent="0.3">
      <c r="A8" s="3" t="s">
        <v>63</v>
      </c>
      <c r="B8" s="3">
        <v>7</v>
      </c>
      <c r="C8" s="3">
        <f>COUNTIFS(Raw_Data!B:B,A8)</f>
        <v>25</v>
      </c>
      <c r="D8" s="4">
        <f>SUMIF(Raw_Data!B:B,A8,Raw_Data!K:K)</f>
        <v>897139</v>
      </c>
      <c r="E8" s="4">
        <f>SUMIF(Raw_Data!B:B,A8,Raw_Data!M:M)</f>
        <v>809349.15</v>
      </c>
      <c r="F8" s="4">
        <f>SUMIF(Raw_Data!B:B,A8,Raw_Data!R:R)</f>
        <v>756000</v>
      </c>
      <c r="G8" s="5">
        <f t="shared" si="0"/>
        <v>1.0705676587301587</v>
      </c>
      <c r="H8" s="3">
        <f>COUNTIFS(Raw_Data!B:B,A8,Raw_Data!O:O,"Returned")</f>
        <v>3</v>
      </c>
      <c r="I8" s="5">
        <f t="shared" si="1"/>
        <v>0.12</v>
      </c>
      <c r="J8" s="5">
        <f t="shared" si="2"/>
        <v>-0.4868331201238475</v>
      </c>
    </row>
    <row r="9" spans="1:10" ht="15" customHeight="1" x14ac:dyDescent="0.3">
      <c r="A9" s="2" t="s">
        <v>67</v>
      </c>
      <c r="B9" s="2">
        <v>8</v>
      </c>
      <c r="C9" s="2">
        <f>COUNTIFS(Raw_Data!B:B,A9)</f>
        <v>25</v>
      </c>
      <c r="D9" s="6">
        <f>SUMIF(Raw_Data!B:B,A9,Raw_Data!K:K)</f>
        <v>1730857</v>
      </c>
      <c r="E9" s="6">
        <f>SUMIF(Raw_Data!B:B,A9,Raw_Data!M:M)</f>
        <v>1562266.9999999995</v>
      </c>
      <c r="F9" s="6">
        <f>SUMIF(Raw_Data!B:B,A9,Raw_Data!R:R)</f>
        <v>1544000</v>
      </c>
      <c r="G9" s="7">
        <f t="shared" si="0"/>
        <v>1.0118309585492224</v>
      </c>
      <c r="H9" s="2">
        <f>COUNTIFS(Raw_Data!B:B,A9,Raw_Data!O:O,"Returned")</f>
        <v>1</v>
      </c>
      <c r="I9" s="7">
        <f t="shared" si="1"/>
        <v>0.04</v>
      </c>
      <c r="J9" s="7">
        <f t="shared" si="2"/>
        <v>0.9302757036317385</v>
      </c>
    </row>
    <row r="10" spans="1:10" ht="15" customHeight="1" x14ac:dyDescent="0.3">
      <c r="A10" s="3" t="s">
        <v>70</v>
      </c>
      <c r="B10" s="3">
        <v>9</v>
      </c>
      <c r="C10" s="3">
        <f>COUNTIFS(Raw_Data!B:B,A10)</f>
        <v>25</v>
      </c>
      <c r="D10" s="4">
        <f>SUMIF(Raw_Data!B:B,A10,Raw_Data!K:K)</f>
        <v>1795283</v>
      </c>
      <c r="E10" s="4">
        <f>SUMIF(Raw_Data!B:B,A10,Raw_Data!M:M)</f>
        <v>1567008.6500000004</v>
      </c>
      <c r="F10" s="4">
        <f>SUMIF(Raw_Data!B:B,A10,Raw_Data!R:R)</f>
        <v>1487400</v>
      </c>
      <c r="G10" s="5">
        <f t="shared" si="0"/>
        <v>1.0535220182869438</v>
      </c>
      <c r="H10" s="3">
        <f>COUNTIFS(Raw_Data!B:B,A10,Raw_Data!O:O,"Returned")</f>
        <v>6</v>
      </c>
      <c r="I10" s="5">
        <f t="shared" si="1"/>
        <v>0.24</v>
      </c>
      <c r="J10" s="5">
        <f t="shared" si="2"/>
        <v>3.0351085953942824E-3</v>
      </c>
    </row>
    <row r="11" spans="1:10" ht="15" customHeight="1" x14ac:dyDescent="0.3">
      <c r="A11" s="2" t="s">
        <v>75</v>
      </c>
      <c r="B11" s="2">
        <v>10</v>
      </c>
      <c r="C11" s="2">
        <f>COUNTIFS(Raw_Data!B:B,A11)</f>
        <v>25</v>
      </c>
      <c r="D11" s="6">
        <f>SUMIF(Raw_Data!B:B,A11,Raw_Data!K:K)</f>
        <v>1626889</v>
      </c>
      <c r="E11" s="6">
        <f>SUMIF(Raw_Data!B:B,A11,Raw_Data!M:M)</f>
        <v>1504139.05</v>
      </c>
      <c r="F11" s="6">
        <f>SUMIF(Raw_Data!B:B,A11,Raw_Data!R:R)</f>
        <v>1557900</v>
      </c>
      <c r="G11" s="7">
        <f t="shared" si="0"/>
        <v>0.96549139867770717</v>
      </c>
      <c r="H11" s="2">
        <f>COUNTIFS(Raw_Data!B:B,A11,Raw_Data!O:O,"Returned")</f>
        <v>3</v>
      </c>
      <c r="I11" s="7">
        <f t="shared" si="1"/>
        <v>0.12</v>
      </c>
      <c r="J11" s="7">
        <f t="shared" si="2"/>
        <v>-4.0120774062096153E-2</v>
      </c>
    </row>
    <row r="12" spans="1:10" ht="15" customHeight="1" x14ac:dyDescent="0.3">
      <c r="A12" s="3" t="s">
        <v>79</v>
      </c>
      <c r="B12" s="3">
        <v>11</v>
      </c>
      <c r="C12" s="3">
        <f>COUNTIFS(Raw_Data!B:B,A12)</f>
        <v>25</v>
      </c>
      <c r="D12" s="4">
        <f>SUMIF(Raw_Data!B:B,A12,Raw_Data!K:K)</f>
        <v>1039392</v>
      </c>
      <c r="E12" s="4">
        <f>SUMIF(Raw_Data!B:B,A12,Raw_Data!M:M)</f>
        <v>905156.05</v>
      </c>
      <c r="F12" s="4">
        <f>SUMIF(Raw_Data!B:B,A12,Raw_Data!R:R)</f>
        <v>893400</v>
      </c>
      <c r="G12" s="5">
        <f t="shared" si="0"/>
        <v>1.0131587754645177</v>
      </c>
      <c r="H12" s="3">
        <f>COUNTIFS(Raw_Data!B:B,A12,Raw_Data!O:O,"Returned")</f>
        <v>1</v>
      </c>
      <c r="I12" s="5">
        <f t="shared" si="1"/>
        <v>0.04</v>
      </c>
      <c r="J12" s="5">
        <f t="shared" si="2"/>
        <v>-0.39822315629662031</v>
      </c>
    </row>
    <row r="13" spans="1:10" ht="15" customHeight="1" x14ac:dyDescent="0.3">
      <c r="A13" s="2" t="s">
        <v>83</v>
      </c>
      <c r="B13" s="2">
        <v>12</v>
      </c>
      <c r="C13" s="2">
        <f>COUNTIFS(Raw_Data!B:B,A13)</f>
        <v>25</v>
      </c>
      <c r="D13" s="6">
        <f>SUMIF(Raw_Data!B:B,A13,Raw_Data!K:K)</f>
        <v>920349</v>
      </c>
      <c r="E13" s="6">
        <f>SUMIF(Raw_Data!B:B,A13,Raw_Data!M:M)</f>
        <v>857765.20000000007</v>
      </c>
      <c r="F13" s="6">
        <f>SUMIF(Raw_Data!B:B,A13,Raw_Data!R:R)</f>
        <v>825200</v>
      </c>
      <c r="G13" s="7">
        <f t="shared" si="0"/>
        <v>1.0394634028114398</v>
      </c>
      <c r="H13" s="2">
        <f>COUNTIFS(Raw_Data!B:B,A13,Raw_Data!O:O,"Returned")</f>
        <v>6</v>
      </c>
      <c r="I13" s="7">
        <f t="shared" si="1"/>
        <v>0.24</v>
      </c>
      <c r="J13" s="7">
        <f t="shared" si="2"/>
        <v>-5.2356552221023075E-2</v>
      </c>
    </row>
    <row r="17" spans="7:11" x14ac:dyDescent="0.3">
      <c r="G17" s="15"/>
      <c r="I17" s="14"/>
    </row>
    <row r="18" spans="7:11" x14ac:dyDescent="0.3">
      <c r="G18" s="15"/>
      <c r="I18" s="14"/>
      <c r="K18" s="16"/>
    </row>
    <row r="19" spans="7:11" x14ac:dyDescent="0.3">
      <c r="G19" s="15"/>
      <c r="I19" s="14"/>
      <c r="K19" s="16"/>
    </row>
    <row r="20" spans="7:11" x14ac:dyDescent="0.3">
      <c r="G20" s="15"/>
      <c r="I20" s="14"/>
      <c r="K20" s="16"/>
    </row>
    <row r="21" spans="7:11" x14ac:dyDescent="0.3">
      <c r="G21" s="15"/>
      <c r="I21" s="14"/>
      <c r="K21" s="16"/>
    </row>
    <row r="22" spans="7:11" x14ac:dyDescent="0.3">
      <c r="G22" s="15"/>
      <c r="I22" s="14"/>
      <c r="K22" s="16"/>
    </row>
    <row r="23" spans="7:11" x14ac:dyDescent="0.3">
      <c r="G23" s="15"/>
      <c r="I23" s="14"/>
      <c r="K23" s="16"/>
    </row>
    <row r="24" spans="7:11" x14ac:dyDescent="0.3">
      <c r="G24" s="15"/>
      <c r="I24" s="14"/>
      <c r="K24" s="16"/>
    </row>
    <row r="25" spans="7:11" x14ac:dyDescent="0.3">
      <c r="G25" s="15"/>
      <c r="I25" s="14"/>
      <c r="K25" s="16"/>
    </row>
    <row r="26" spans="7:11" x14ac:dyDescent="0.3">
      <c r="G26" s="15"/>
      <c r="I26" s="14"/>
      <c r="K26" s="16"/>
    </row>
    <row r="27" spans="7:11" x14ac:dyDescent="0.3">
      <c r="G27" s="15"/>
      <c r="I27" s="14"/>
      <c r="K27" s="16"/>
    </row>
    <row r="28" spans="7:11" x14ac:dyDescent="0.3">
      <c r="G28" s="15"/>
      <c r="I28" s="14"/>
      <c r="K28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/>
  </sheetViews>
  <sheetFormatPr defaultColWidth="8.6640625" defaultRowHeight="14.4" x14ac:dyDescent="0.3"/>
  <cols>
    <col min="1" max="1" width="12.5546875" bestFit="1" customWidth="1"/>
    <col min="2" max="2" width="18.6640625" bestFit="1" customWidth="1"/>
    <col min="3" max="3" width="17.5546875" customWidth="1"/>
    <col min="4" max="4" width="21.21875" bestFit="1" customWidth="1"/>
    <col min="5" max="5" width="24.109375" bestFit="1" customWidth="1"/>
    <col min="6" max="6" width="18" customWidth="1"/>
    <col min="7" max="7" width="20.109375" customWidth="1"/>
    <col min="8" max="8" width="8" customWidth="1"/>
  </cols>
  <sheetData>
    <row r="1" spans="1:8" ht="15" customHeight="1" x14ac:dyDescent="0.3">
      <c r="A1" s="22" t="s">
        <v>4</v>
      </c>
      <c r="B1" s="23" t="s">
        <v>582</v>
      </c>
      <c r="C1" s="23" t="s">
        <v>583</v>
      </c>
      <c r="D1" s="23" t="s">
        <v>12</v>
      </c>
      <c r="E1" s="23" t="s">
        <v>586</v>
      </c>
      <c r="F1" s="23" t="s">
        <v>587</v>
      </c>
      <c r="G1" s="23" t="s">
        <v>589</v>
      </c>
      <c r="H1" s="24" t="s">
        <v>590</v>
      </c>
    </row>
    <row r="2" spans="1:8" ht="15" customHeight="1" x14ac:dyDescent="0.3">
      <c r="A2" s="18" t="s">
        <v>30</v>
      </c>
      <c r="B2" s="3">
        <f>COUNTIF(Raw_Data!E:E,A2)</f>
        <v>38</v>
      </c>
      <c r="C2" s="4">
        <f>SUMIF(Raw_Data!E:E,A2,Raw_Data!K:K)</f>
        <v>3195035</v>
      </c>
      <c r="D2" s="4">
        <f>SUMIF(Raw_Data!E:E,A2,Raw_Data!M:M)</f>
        <v>2883388.0999999996</v>
      </c>
      <c r="E2" s="3">
        <f>COUNTIFS(Raw_Data!E:E,A2,Raw_Data!O:O,"Returned")</f>
        <v>5</v>
      </c>
      <c r="F2" s="5">
        <f t="shared" ref="F2:F9" si="0">IFERROR(E2/B2,0)</f>
        <v>0.13157894736842105</v>
      </c>
      <c r="G2" s="4">
        <f t="shared" ref="G2:G9" si="1">IFERROR(C2/B2,0)</f>
        <v>84079.868421052626</v>
      </c>
      <c r="H2" s="20">
        <f t="shared" ref="H2:H9" si="2">RANK(C2,$C$2:$C$9,0)</f>
        <v>1</v>
      </c>
    </row>
    <row r="3" spans="1:8" ht="15" customHeight="1" x14ac:dyDescent="0.3">
      <c r="A3" s="19" t="s">
        <v>57</v>
      </c>
      <c r="B3" s="2">
        <f>COUNTIF(Raw_Data!E:E,A3)</f>
        <v>36</v>
      </c>
      <c r="C3" s="6">
        <f>SUMIF(Raw_Data!E:E,A3,Raw_Data!K:K)</f>
        <v>2421021</v>
      </c>
      <c r="D3" s="6">
        <f>SUMIF(Raw_Data!E:E,A3,Raw_Data!M:M)</f>
        <v>2193023.5999999996</v>
      </c>
      <c r="E3" s="2">
        <f>COUNTIFS(Raw_Data!E:E,A3,Raw_Data!O:O,"Returned")</f>
        <v>7</v>
      </c>
      <c r="F3" s="7">
        <f t="shared" si="0"/>
        <v>0.19444444444444445</v>
      </c>
      <c r="G3" s="6">
        <f t="shared" si="1"/>
        <v>67250.583333333328</v>
      </c>
      <c r="H3" s="21">
        <f t="shared" si="2"/>
        <v>2</v>
      </c>
    </row>
    <row r="4" spans="1:8" ht="15" customHeight="1" x14ac:dyDescent="0.3">
      <c r="A4" s="19" t="s">
        <v>65</v>
      </c>
      <c r="B4" s="2">
        <f>COUNTIF(Raw_Data!E:E,A4)</f>
        <v>38</v>
      </c>
      <c r="C4" s="6">
        <f>SUMIF(Raw_Data!E:E,A4,Raw_Data!K:K)</f>
        <v>2389891</v>
      </c>
      <c r="D4" s="6">
        <f>SUMIF(Raw_Data!E:E,A4,Raw_Data!M:M)</f>
        <v>2086856.5500000003</v>
      </c>
      <c r="E4" s="2">
        <f>COUNTIFS(Raw_Data!E:E,A4,Raw_Data!O:O,"Returned")</f>
        <v>6</v>
      </c>
      <c r="F4" s="7">
        <f t="shared" si="0"/>
        <v>0.15789473684210525</v>
      </c>
      <c r="G4" s="6">
        <f t="shared" si="1"/>
        <v>62891.868421052633</v>
      </c>
      <c r="H4" s="21">
        <f t="shared" si="2"/>
        <v>3</v>
      </c>
    </row>
    <row r="5" spans="1:8" ht="15" customHeight="1" x14ac:dyDescent="0.3">
      <c r="A5" s="18" t="s">
        <v>21</v>
      </c>
      <c r="B5" s="3">
        <f>COUNTIF(Raw_Data!E:E,A5)</f>
        <v>39</v>
      </c>
      <c r="C5" s="4">
        <f>SUMIF(Raw_Data!E:E,A5,Raw_Data!K:K)</f>
        <v>2120015</v>
      </c>
      <c r="D5" s="4">
        <f>SUMIF(Raw_Data!E:E,A5,Raw_Data!M:M)</f>
        <v>1918994.7999999998</v>
      </c>
      <c r="E5" s="3">
        <f>COUNTIFS(Raw_Data!E:E,A5,Raw_Data!O:O,"Returned")</f>
        <v>3</v>
      </c>
      <c r="F5" s="5">
        <f t="shared" si="0"/>
        <v>7.6923076923076927E-2</v>
      </c>
      <c r="G5" s="4">
        <f t="shared" si="1"/>
        <v>54359.358974358976</v>
      </c>
      <c r="H5" s="20">
        <f t="shared" si="2"/>
        <v>4</v>
      </c>
    </row>
    <row r="6" spans="1:8" ht="15" customHeight="1" x14ac:dyDescent="0.3">
      <c r="A6" s="18" t="s">
        <v>38</v>
      </c>
      <c r="B6" s="3">
        <f>COUNTIF(Raw_Data!E:E,A6)</f>
        <v>45</v>
      </c>
      <c r="C6" s="4">
        <f>SUMIF(Raw_Data!E:E,A6,Raw_Data!K:K)</f>
        <v>1742653</v>
      </c>
      <c r="D6" s="4">
        <f>SUMIF(Raw_Data!E:E,A6,Raw_Data!M:M)</f>
        <v>1634166.85</v>
      </c>
      <c r="E6" s="3">
        <f>COUNTIFS(Raw_Data!E:E,A6,Raw_Data!O:O,"Returned")</f>
        <v>7</v>
      </c>
      <c r="F6" s="5">
        <f t="shared" si="0"/>
        <v>0.15555555555555556</v>
      </c>
      <c r="G6" s="4">
        <f t="shared" si="1"/>
        <v>38725.62222222222</v>
      </c>
      <c r="H6" s="20">
        <f t="shared" si="2"/>
        <v>5</v>
      </c>
    </row>
    <row r="7" spans="1:8" ht="15" customHeight="1" x14ac:dyDescent="0.3">
      <c r="A7" s="19" t="s">
        <v>50</v>
      </c>
      <c r="B7" s="2">
        <f>COUNTIF(Raw_Data!E:E,A7)</f>
        <v>41</v>
      </c>
      <c r="C7" s="6">
        <f>SUMIF(Raw_Data!E:E,A7,Raw_Data!K:K)</f>
        <v>1626283</v>
      </c>
      <c r="D7" s="6">
        <f>SUMIF(Raw_Data!E:E,A7,Raw_Data!M:M)</f>
        <v>1513882.9499999997</v>
      </c>
      <c r="E7" s="2">
        <f>COUNTIFS(Raw_Data!E:E,A7,Raw_Data!O:O,"Returned")</f>
        <v>7</v>
      </c>
      <c r="F7" s="7">
        <f t="shared" si="0"/>
        <v>0.17073170731707318</v>
      </c>
      <c r="G7" s="6">
        <f t="shared" si="1"/>
        <v>39665.439024390245</v>
      </c>
      <c r="H7" s="21">
        <f t="shared" si="2"/>
        <v>7</v>
      </c>
    </row>
    <row r="8" spans="1:8" ht="15" customHeight="1" x14ac:dyDescent="0.3">
      <c r="A8" s="19" t="s">
        <v>118</v>
      </c>
      <c r="B8" s="2">
        <f>COUNTIF(Raw_Data!E:E,A8)</f>
        <v>30</v>
      </c>
      <c r="C8" s="6">
        <f>SUMIF(Raw_Data!E:E,A8,Raw_Data!K:K)</f>
        <v>1707660</v>
      </c>
      <c r="D8" s="6">
        <f>SUMIF(Raw_Data!E:E,A8,Raw_Data!M:M)</f>
        <v>1491462.4000000001</v>
      </c>
      <c r="E8" s="2">
        <f>COUNTIFS(Raw_Data!E:E,A8,Raw_Data!O:O,"Returned")</f>
        <v>5</v>
      </c>
      <c r="F8" s="7">
        <f t="shared" si="0"/>
        <v>0.16666666666666666</v>
      </c>
      <c r="G8" s="6">
        <f t="shared" si="1"/>
        <v>56922</v>
      </c>
      <c r="H8" s="21">
        <f t="shared" si="2"/>
        <v>6</v>
      </c>
    </row>
    <row r="9" spans="1:8" ht="15" customHeight="1" x14ac:dyDescent="0.3">
      <c r="A9" s="30" t="s">
        <v>94</v>
      </c>
      <c r="B9" s="31">
        <f>COUNTIF(Raw_Data!E:E,A9)</f>
        <v>33</v>
      </c>
      <c r="C9" s="32">
        <f>SUMIF(Raw_Data!E:E,A9,Raw_Data!K:K)</f>
        <v>879153</v>
      </c>
      <c r="D9" s="32">
        <f>SUMIF(Raw_Data!E:E,A9,Raw_Data!M:M)</f>
        <v>761580.85000000009</v>
      </c>
      <c r="E9" s="31">
        <f>COUNTIFS(Raw_Data!E:E,A9,Raw_Data!O:O,"Returned")</f>
        <v>4</v>
      </c>
      <c r="F9" s="33">
        <f t="shared" si="0"/>
        <v>0.12121212121212122</v>
      </c>
      <c r="G9" s="32">
        <f t="shared" si="1"/>
        <v>26641</v>
      </c>
      <c r="H9" s="34">
        <f t="shared" si="2"/>
        <v>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Normal="100" workbookViewId="0"/>
  </sheetViews>
  <sheetFormatPr defaultColWidth="8.6640625" defaultRowHeight="14.4" x14ac:dyDescent="0.3"/>
  <cols>
    <col min="1" max="1" width="14.21875" bestFit="1" customWidth="1"/>
    <col min="2" max="2" width="18.21875" customWidth="1"/>
    <col min="3" max="3" width="16.6640625" customWidth="1"/>
    <col min="4" max="4" width="20.6640625" customWidth="1"/>
    <col min="5" max="5" width="18.33203125" customWidth="1"/>
    <col min="6" max="6" width="17.88671875" customWidth="1"/>
    <col min="7" max="7" width="21.44140625" customWidth="1"/>
    <col min="8" max="8" width="18" customWidth="1"/>
    <col min="9" max="9" width="16.44140625" customWidth="1"/>
  </cols>
  <sheetData>
    <row r="1" spans="1:9" ht="15" customHeight="1" x14ac:dyDescent="0.3">
      <c r="A1" s="22" t="s">
        <v>5</v>
      </c>
      <c r="B1" s="23" t="s">
        <v>582</v>
      </c>
      <c r="C1" s="23" t="s">
        <v>10</v>
      </c>
      <c r="D1" s="23" t="s">
        <v>12</v>
      </c>
      <c r="E1" s="23" t="s">
        <v>8</v>
      </c>
      <c r="F1" s="23" t="s">
        <v>591</v>
      </c>
      <c r="G1" s="23" t="s">
        <v>592</v>
      </c>
      <c r="H1" s="23" t="s">
        <v>587</v>
      </c>
      <c r="I1" s="24" t="s">
        <v>593</v>
      </c>
    </row>
    <row r="2" spans="1:9" ht="15" customHeight="1" x14ac:dyDescent="0.3">
      <c r="A2" s="18" t="s">
        <v>22</v>
      </c>
      <c r="B2" s="3">
        <f>COUNTIF(Raw_Data!F:F,A2)</f>
        <v>56</v>
      </c>
      <c r="C2" s="4">
        <f>SUMIF(Raw_Data!F:F,A2,Raw_Data!K:K)</f>
        <v>4036928</v>
      </c>
      <c r="D2" s="4">
        <f>SUMIF(Raw_Data!F:F,A2,Raw_Data!M:M)</f>
        <v>3636484.4499999983</v>
      </c>
      <c r="E2" s="3">
        <f>SUMIF(Raw_Data!F:F,A2,Raw_Data!I:I)</f>
        <v>472</v>
      </c>
      <c r="F2" s="4">
        <f>IFERROR(C2/B2,0)</f>
        <v>72088</v>
      </c>
      <c r="G2" s="5">
        <f>IFERROR(C2/SUM($C$2:$C$6),0)</f>
        <v>0.25102602577549116</v>
      </c>
      <c r="H2" s="5">
        <f>IFERROR(COUNTIFS(Raw_Data!F:F,A2,Raw_Data!O:O,"Returned")/B2,0)</f>
        <v>0.16071428571428573</v>
      </c>
      <c r="I2" s="20" t="str">
        <f ca="1">IFERROR(INDEX(Raw_Data!H:H,MATCH(_xludf.maxifs(Raw_Data!K:K,Raw_Data!F:F,A2),Raw_Data!K:K,0)),"N/A")</f>
        <v>N/A</v>
      </c>
    </row>
    <row r="3" spans="1:9" ht="15" customHeight="1" x14ac:dyDescent="0.3">
      <c r="A3" s="18" t="s">
        <v>44</v>
      </c>
      <c r="B3" s="3">
        <f>COUNTIF(Raw_Data!F:F,A3)</f>
        <v>68</v>
      </c>
      <c r="C3" s="4">
        <f>SUMIF(Raw_Data!F:F,A3,Raw_Data!K:K)</f>
        <v>3512072</v>
      </c>
      <c r="D3" s="4">
        <f>SUMIF(Raw_Data!F:F,A3,Raw_Data!M:M)</f>
        <v>3221897.5999999992</v>
      </c>
      <c r="E3" s="3">
        <f>SUMIF(Raw_Data!F:F,A3,Raw_Data!I:I)</f>
        <v>528</v>
      </c>
      <c r="F3" s="4">
        <f>IFERROR(C3/B3,0)</f>
        <v>51648.117647058825</v>
      </c>
      <c r="G3" s="5">
        <f>IFERROR(C3/SUM($C$2:$C$6),0)</f>
        <v>0.21838920000489997</v>
      </c>
      <c r="H3" s="5">
        <f>IFERROR(COUNTIFS(Raw_Data!F:F,A3,Raw_Data!O:O,"Returned")/B3,0)</f>
        <v>0.14705882352941177</v>
      </c>
      <c r="I3" s="20" t="str">
        <f ca="1">IFERROR(INDEX(Raw_Data!H:H,MATCH(_xludf.maxifs(Raw_Data!K:K,Raw_Data!F:F,A3),Raw_Data!K:K,0)),"N/A")</f>
        <v>N/A</v>
      </c>
    </row>
    <row r="4" spans="1:9" ht="15" customHeight="1" x14ac:dyDescent="0.3">
      <c r="A4" s="18" t="s">
        <v>51</v>
      </c>
      <c r="B4" s="3">
        <f>COUNTIF(Raw_Data!F:F,A4)</f>
        <v>55</v>
      </c>
      <c r="C4" s="4">
        <f>SUMIF(Raw_Data!F:F,A4,Raw_Data!K:K)</f>
        <v>3338567</v>
      </c>
      <c r="D4" s="4">
        <f>SUMIF(Raw_Data!F:F,A4,Raw_Data!M:M)</f>
        <v>2975591.2499999995</v>
      </c>
      <c r="E4" s="3">
        <f>SUMIF(Raw_Data!F:F,A4,Raw_Data!I:I)</f>
        <v>433</v>
      </c>
      <c r="F4" s="4">
        <f>IFERROR(C4/B4,0)</f>
        <v>60701.218181818185</v>
      </c>
      <c r="G4" s="5">
        <f>IFERROR(C4/SUM($C$2:$C$6),0)</f>
        <v>0.20760023606940828</v>
      </c>
      <c r="H4" s="5">
        <f>IFERROR(COUNTIFS(Raw_Data!F:F,A4,Raw_Data!O:O,"Returned")/B4,0)</f>
        <v>0.12727272727272726</v>
      </c>
      <c r="I4" s="20" t="str">
        <f ca="1">IFERROR(INDEX(Raw_Data!H:H,MATCH(_xludf.maxifs(Raw_Data!K:K,Raw_Data!F:F,A4),Raw_Data!K:K,0)),"N/A")</f>
        <v>N/A</v>
      </c>
    </row>
    <row r="5" spans="1:9" ht="15" customHeight="1" x14ac:dyDescent="0.3">
      <c r="A5" s="19" t="s">
        <v>31</v>
      </c>
      <c r="B5" s="2">
        <f>COUNTIF(Raw_Data!F:F,A5)</f>
        <v>59</v>
      </c>
      <c r="C5" s="6">
        <f>SUMIF(Raw_Data!F:F,A5,Raw_Data!K:K)</f>
        <v>3022820</v>
      </c>
      <c r="D5" s="6">
        <f>SUMIF(Raw_Data!F:F,A5,Raw_Data!M:M)</f>
        <v>2668666.7000000002</v>
      </c>
      <c r="E5" s="2">
        <f>SUMIF(Raw_Data!F:F,A5,Raw_Data!I:I)</f>
        <v>480</v>
      </c>
      <c r="F5" s="6">
        <f>IFERROR(C5/B5,0)</f>
        <v>51234.237288135591</v>
      </c>
      <c r="G5" s="7">
        <f>IFERROR(C5/SUM($C$2:$C$6),0)</f>
        <v>0.18796631776307882</v>
      </c>
      <c r="H5" s="7">
        <f>IFERROR(COUNTIFS(Raw_Data!F:F,A5,Raw_Data!O:O,"Returned")/B5,0)</f>
        <v>0.10169491525423729</v>
      </c>
      <c r="I5" s="21" t="str">
        <f ca="1">IFERROR(INDEX(Raw_Data!H:H,MATCH(_xludf.maxifs(Raw_Data!K:K,Raw_Data!F:F,A5),Raw_Data!K:K,0)),"N/A")</f>
        <v>N/A</v>
      </c>
    </row>
    <row r="6" spans="1:9" ht="15" customHeight="1" x14ac:dyDescent="0.3">
      <c r="A6" s="25" t="s">
        <v>72</v>
      </c>
      <c r="B6" s="26">
        <f>COUNTIF(Raw_Data!F:F,A6)</f>
        <v>62</v>
      </c>
      <c r="C6" s="27">
        <f>SUMIF(Raw_Data!F:F,A6,Raw_Data!K:K)</f>
        <v>2171324</v>
      </c>
      <c r="D6" s="27">
        <f>SUMIF(Raw_Data!F:F,A6,Raw_Data!M:M)</f>
        <v>1980716.1</v>
      </c>
      <c r="E6" s="26">
        <f>SUMIF(Raw_Data!F:F,A6,Raw_Data!I:I)</f>
        <v>476</v>
      </c>
      <c r="F6" s="27">
        <f>IFERROR(C6/B6,0)</f>
        <v>35021.354838709674</v>
      </c>
      <c r="G6" s="28">
        <f>IFERROR(C6/SUM($C$2:$C$6),0)</f>
        <v>0.13501822038712175</v>
      </c>
      <c r="H6" s="28">
        <f>IFERROR(COUNTIFS(Raw_Data!F:F,A6,Raw_Data!O:O,"Returned")/B6,0)</f>
        <v>0.19354838709677419</v>
      </c>
      <c r="I6" s="29" t="str">
        <f ca="1">IFERROR(INDEX(Raw_Data!H:H,MATCH(_xludf.maxifs(Raw_Data!K:K,Raw_Data!F:F,A6),Raw_Data!K:K,0)),"N/A")</f>
        <v>N/A</v>
      </c>
    </row>
    <row r="13" spans="1:9" x14ac:dyDescent="0.3">
      <c r="D13" s="17"/>
      <c r="F13" s="16"/>
      <c r="G13" s="16"/>
    </row>
    <row r="14" spans="1:9" x14ac:dyDescent="0.3">
      <c r="D14" s="17"/>
      <c r="F14" s="16"/>
      <c r="G14" s="16"/>
    </row>
    <row r="15" spans="1:9" x14ac:dyDescent="0.3">
      <c r="D15" s="17"/>
      <c r="F15" s="16"/>
      <c r="G15" s="16"/>
    </row>
    <row r="16" spans="1:9" x14ac:dyDescent="0.3">
      <c r="D16" s="17"/>
      <c r="F16" s="16"/>
      <c r="G16" s="16"/>
    </row>
    <row r="17" spans="4:7" x14ac:dyDescent="0.3">
      <c r="D17" s="17"/>
      <c r="F17" s="16"/>
      <c r="G17" s="1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workbookViewId="0">
      <selection activeCell="A8" sqref="A8:H11"/>
    </sheetView>
  </sheetViews>
  <sheetFormatPr defaultColWidth="8.6640625" defaultRowHeight="14.4" x14ac:dyDescent="0.3"/>
  <cols>
    <col min="1" max="1" width="12.5546875" bestFit="1" customWidth="1"/>
    <col min="2" max="2" width="18.6640625" bestFit="1" customWidth="1"/>
    <col min="3" max="3" width="17.109375" bestFit="1" customWidth="1"/>
    <col min="4" max="4" width="21.21875" bestFit="1" customWidth="1"/>
    <col min="5" max="5" width="24.109375" bestFit="1" customWidth="1"/>
    <col min="6" max="6" width="16.21875" bestFit="1" customWidth="1"/>
    <col min="7" max="7" width="19.77734375" bestFit="1" customWidth="1"/>
    <col min="8" max="8" width="17.77734375" bestFit="1" customWidth="1"/>
  </cols>
  <sheetData>
    <row r="1" spans="1:8" ht="15" customHeight="1" x14ac:dyDescent="0.3">
      <c r="A1" s="1" t="s">
        <v>7</v>
      </c>
      <c r="B1" s="1" t="s">
        <v>582</v>
      </c>
      <c r="C1" s="1" t="s">
        <v>10</v>
      </c>
      <c r="D1" s="1" t="s">
        <v>12</v>
      </c>
      <c r="E1" s="1" t="s">
        <v>586</v>
      </c>
      <c r="F1" s="1" t="s">
        <v>587</v>
      </c>
      <c r="G1" s="1" t="s">
        <v>592</v>
      </c>
      <c r="H1" s="1" t="s">
        <v>594</v>
      </c>
    </row>
    <row r="2" spans="1:8" ht="15" customHeight="1" x14ac:dyDescent="0.3">
      <c r="A2" s="3" t="s">
        <v>24</v>
      </c>
      <c r="B2" s="3">
        <f>COUNTIF(Raw_Data!H:H,A2)</f>
        <v>100</v>
      </c>
      <c r="C2" s="4">
        <f>SUMIF(Raw_Data!H:H,A2,Raw_Data!K:K)</f>
        <v>5437745</v>
      </c>
      <c r="D2" s="4">
        <f>SUMIF(Raw_Data!H:H,A2,Raw_Data!M:M)</f>
        <v>4959581.5999999987</v>
      </c>
      <c r="E2" s="3">
        <f>COUNTIFS(Raw_Data!H:H,A2,Raw_Data!O:O,"Returned")</f>
        <v>16</v>
      </c>
      <c r="F2" s="5">
        <f>IFERROR(E2/B2,0)</f>
        <v>0.16</v>
      </c>
      <c r="G2" s="5">
        <f>IFERROR(C2/SUM($C$2:$C$4),0)</f>
        <v>0.33813224227198213</v>
      </c>
      <c r="H2" s="5">
        <f>IFERROR(AVERAGEIF(Raw_Data!H:H,A2,Raw_Data!L:L)/100,0)</f>
        <v>0.10099999999999999</v>
      </c>
    </row>
    <row r="3" spans="1:8" ht="15" customHeight="1" x14ac:dyDescent="0.3">
      <c r="A3" s="2" t="s">
        <v>40</v>
      </c>
      <c r="B3" s="2">
        <f>COUNTIF(Raw_Data!H:H,A3)</f>
        <v>108</v>
      </c>
      <c r="C3" s="6">
        <f>SUMIF(Raw_Data!H:H,A3,Raw_Data!K:K)</f>
        <v>5500474</v>
      </c>
      <c r="D3" s="6">
        <f>SUMIF(Raw_Data!H:H,A3,Raw_Data!M:M)</f>
        <v>4801475.9000000032</v>
      </c>
      <c r="E3" s="2">
        <f>COUNTIFS(Raw_Data!H:H,A3,Raw_Data!O:O,"Returned")</f>
        <v>16</v>
      </c>
      <c r="F3" s="7">
        <f>IFERROR(E3/B3,0)</f>
        <v>0.14814814814814814</v>
      </c>
      <c r="G3" s="7">
        <f>IFERROR(C3/SUM($C$2:$C$4),0)</f>
        <v>0.34203288443623941</v>
      </c>
      <c r="H3" s="7">
        <f>IFERROR(AVERAGEIF(Raw_Data!H:H,A3,Raw_Data!L:L)/100,0)</f>
        <v>0.10833333333333334</v>
      </c>
    </row>
    <row r="4" spans="1:8" ht="15" customHeight="1" x14ac:dyDescent="0.3">
      <c r="A4" s="3" t="s">
        <v>33</v>
      </c>
      <c r="B4" s="3">
        <f>COUNTIF(Raw_Data!H:H,A4)</f>
        <v>92</v>
      </c>
      <c r="C4" s="4">
        <f>SUMIF(Raw_Data!H:H,A4,Raw_Data!K:K)</f>
        <v>5143492</v>
      </c>
      <c r="D4" s="4">
        <f>SUMIF(Raw_Data!H:H,A4,Raw_Data!M:M)</f>
        <v>4722298.6000000006</v>
      </c>
      <c r="E4" s="3">
        <f>COUNTIFS(Raw_Data!H:H,A4,Raw_Data!O:O,"Returned")</f>
        <v>12</v>
      </c>
      <c r="F4" s="5">
        <f>IFERROR(E4/B4,0)</f>
        <v>0.13043478260869565</v>
      </c>
      <c r="G4" s="5">
        <f>IFERROR(C4/SUM($C$2:$C$4),0)</f>
        <v>0.31983487329177845</v>
      </c>
      <c r="H4" s="5">
        <f>IFERROR(AVERAGEIF(Raw_Data!H:H,A4,Raw_Data!L:L)/100,0)</f>
        <v>9.4565217391304357E-2</v>
      </c>
    </row>
    <row r="9" spans="1:8" x14ac:dyDescent="0.3">
      <c r="F9" s="14"/>
      <c r="G9" s="16"/>
    </row>
    <row r="10" spans="1:8" x14ac:dyDescent="0.3">
      <c r="F10" s="14"/>
      <c r="G10" s="16"/>
    </row>
    <row r="11" spans="1:8" x14ac:dyDescent="0.3">
      <c r="F11" s="14"/>
      <c r="G11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zoomScaleNormal="100" workbookViewId="0">
      <selection activeCell="F10" sqref="F10"/>
    </sheetView>
  </sheetViews>
  <sheetFormatPr defaultColWidth="8.6640625" defaultRowHeight="14.4" x14ac:dyDescent="0.3"/>
  <cols>
    <col min="1" max="1" width="20" customWidth="1"/>
    <col min="2" max="2" width="12" customWidth="1"/>
    <col min="3" max="3" width="16" customWidth="1"/>
    <col min="4" max="5" width="12" customWidth="1"/>
    <col min="6" max="6" width="14.21875" bestFit="1" customWidth="1"/>
    <col min="7" max="7" width="21.88671875" bestFit="1" customWidth="1"/>
    <col min="8" max="8" width="16.44140625" bestFit="1" customWidth="1"/>
  </cols>
  <sheetData>
    <row r="1" spans="1:9" ht="30" customHeight="1" x14ac:dyDescent="0.3">
      <c r="A1" s="35" t="s">
        <v>595</v>
      </c>
      <c r="B1" s="35"/>
      <c r="C1" s="35"/>
      <c r="D1" s="35"/>
      <c r="E1" s="35"/>
    </row>
    <row r="3" spans="1:9" ht="15" customHeight="1" x14ac:dyDescent="0.3">
      <c r="A3" s="8" t="s">
        <v>596</v>
      </c>
      <c r="B3" s="8" t="s">
        <v>597</v>
      </c>
      <c r="C3" s="8" t="s">
        <v>598</v>
      </c>
    </row>
    <row r="4" spans="1:9" ht="15" customHeight="1" x14ac:dyDescent="0.3">
      <c r="A4" s="2" t="s">
        <v>218</v>
      </c>
      <c r="B4" s="2">
        <f>COUNTIF(Raw_Data!Q:Q,A4)</f>
        <v>7</v>
      </c>
      <c r="C4" s="7">
        <f>IFERROR(B4/SUM($B$4:$B$8),0)</f>
        <v>0.17073170731707318</v>
      </c>
      <c r="H4" s="16"/>
    </row>
    <row r="5" spans="1:9" ht="15" customHeight="1" x14ac:dyDescent="0.3">
      <c r="A5" s="2" t="s">
        <v>195</v>
      </c>
      <c r="B5" s="2">
        <f>COUNTIF(Raw_Data!Q:Q,A5)</f>
        <v>9</v>
      </c>
      <c r="C5" s="7">
        <f>IFERROR(B5/SUM($B$4:$B$8),0)</f>
        <v>0.21951219512195122</v>
      </c>
      <c r="H5" s="16"/>
    </row>
    <row r="6" spans="1:9" ht="15" customHeight="1" x14ac:dyDescent="0.3">
      <c r="A6" s="2" t="s">
        <v>188</v>
      </c>
      <c r="B6" s="2">
        <f>COUNTIF(Raw_Data!Q:Q,A6)</f>
        <v>6</v>
      </c>
      <c r="C6" s="7">
        <f>IFERROR(B6/SUM($B$4:$B$8),0)</f>
        <v>0.14634146341463414</v>
      </c>
      <c r="H6" s="16"/>
    </row>
    <row r="7" spans="1:9" ht="15" customHeight="1" x14ac:dyDescent="0.3">
      <c r="A7" s="2" t="s">
        <v>149</v>
      </c>
      <c r="B7" s="2">
        <f>COUNTIF(Raw_Data!Q:Q,A7)</f>
        <v>11</v>
      </c>
      <c r="C7" s="7">
        <f>IFERROR(B7/SUM($B$4:$B$8),0)</f>
        <v>0.26829268292682928</v>
      </c>
      <c r="H7" s="16"/>
    </row>
    <row r="8" spans="1:9" ht="15" customHeight="1" x14ac:dyDescent="0.3">
      <c r="A8" s="2" t="s">
        <v>61</v>
      </c>
      <c r="B8" s="2">
        <f>COUNTIF(Raw_Data!Q:Q,A8)</f>
        <v>8</v>
      </c>
      <c r="C8" s="7">
        <f>IFERROR(B8/SUM($B$4:$B$8),0)</f>
        <v>0.1951219512195122</v>
      </c>
      <c r="H8" s="16"/>
    </row>
    <row r="11" spans="1:9" ht="15" customHeight="1" x14ac:dyDescent="0.3">
      <c r="A11" s="8" t="s">
        <v>5</v>
      </c>
      <c r="B11" s="8" t="s">
        <v>586</v>
      </c>
      <c r="C11" s="8" t="s">
        <v>599</v>
      </c>
    </row>
    <row r="12" spans="1:9" ht="15" customHeight="1" x14ac:dyDescent="0.3">
      <c r="A12" s="2" t="s">
        <v>22</v>
      </c>
      <c r="B12" s="2">
        <f>COUNTIFS(Raw_Data!F:F,A12,Raw_Data!O:O,"Returned")</f>
        <v>9</v>
      </c>
      <c r="C12" s="7">
        <f>IFERROR(B12/COUNTIF(Raw_Data!F:F,A12),0)</f>
        <v>0.16071428571428573</v>
      </c>
      <c r="I12" s="16"/>
    </row>
    <row r="13" spans="1:9" ht="15" customHeight="1" x14ac:dyDescent="0.3">
      <c r="A13" s="2" t="s">
        <v>31</v>
      </c>
      <c r="B13" s="2">
        <f>COUNTIFS(Raw_Data!F:F,A13,Raw_Data!O:O,"Returned")</f>
        <v>6</v>
      </c>
      <c r="C13" s="7">
        <f>IFERROR(B13/COUNTIF(Raw_Data!F:F,A13),0)</f>
        <v>0.10169491525423729</v>
      </c>
      <c r="I13" s="16"/>
    </row>
    <row r="14" spans="1:9" ht="15" customHeight="1" x14ac:dyDescent="0.3">
      <c r="A14" s="2" t="s">
        <v>44</v>
      </c>
      <c r="B14" s="2">
        <f>COUNTIFS(Raw_Data!F:F,A14,Raw_Data!O:O,"Returned")</f>
        <v>10</v>
      </c>
      <c r="C14" s="7">
        <f>IFERROR(B14/COUNTIF(Raw_Data!F:F,A14),0)</f>
        <v>0.14705882352941177</v>
      </c>
      <c r="I14" s="16"/>
    </row>
    <row r="15" spans="1:9" ht="15" customHeight="1" x14ac:dyDescent="0.3">
      <c r="A15" s="2" t="s">
        <v>72</v>
      </c>
      <c r="B15" s="2">
        <f>COUNTIFS(Raw_Data!F:F,A15,Raw_Data!O:O,"Returned")</f>
        <v>12</v>
      </c>
      <c r="C15" s="7">
        <f>IFERROR(B15/COUNTIF(Raw_Data!F:F,A15),0)</f>
        <v>0.19354838709677419</v>
      </c>
      <c r="I15" s="16"/>
    </row>
    <row r="16" spans="1:9" ht="15" customHeight="1" x14ac:dyDescent="0.3">
      <c r="A16" s="2" t="s">
        <v>51</v>
      </c>
      <c r="B16" s="2">
        <f>COUNTIFS(Raw_Data!F:F,A16,Raw_Data!O:O,"Returned")</f>
        <v>7</v>
      </c>
      <c r="C16" s="7">
        <f>IFERROR(B16/COUNTIF(Raw_Data!F:F,A16),0)</f>
        <v>0.12727272727272726</v>
      </c>
      <c r="I16" s="16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zoomScaleNormal="100" workbookViewId="0">
      <selection activeCell="B6" sqref="B6"/>
    </sheetView>
  </sheetViews>
  <sheetFormatPr defaultColWidth="8.6640625" defaultRowHeight="14.4" x14ac:dyDescent="0.3"/>
  <cols>
    <col min="1" max="2" width="8" customWidth="1"/>
    <col min="3" max="3" width="16.33203125" bestFit="1" customWidth="1"/>
    <col min="4" max="4" width="14" customWidth="1"/>
    <col min="5" max="5" width="16.33203125" bestFit="1" customWidth="1"/>
    <col min="6" max="6" width="14" bestFit="1" customWidth="1"/>
    <col min="7" max="7" width="9" customWidth="1"/>
    <col min="8" max="8" width="12" customWidth="1"/>
    <col min="9" max="9" width="11" customWidth="1"/>
    <col min="10" max="12" width="8" customWidth="1"/>
  </cols>
  <sheetData>
    <row r="1" spans="1:12" ht="39.75" customHeight="1" x14ac:dyDescent="0.3">
      <c r="A1" s="36" t="s">
        <v>600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3" spans="1:12" ht="21.75" customHeight="1" x14ac:dyDescent="0.3">
      <c r="B3" s="9" t="s">
        <v>601</v>
      </c>
      <c r="C3" s="9" t="s">
        <v>602</v>
      </c>
      <c r="E3" s="9" t="s">
        <v>603</v>
      </c>
      <c r="F3" s="9" t="s">
        <v>599</v>
      </c>
      <c r="H3" s="9" t="s">
        <v>604</v>
      </c>
      <c r="I3" s="9" t="s">
        <v>605</v>
      </c>
    </row>
    <row r="4" spans="1:12" ht="31.5" customHeight="1" x14ac:dyDescent="0.3">
      <c r="B4" s="10">
        <f>COUNTA(Raw_Data!A:A)-1</f>
        <v>300</v>
      </c>
      <c r="C4" s="11">
        <f>SUM(Raw_Data!K:K)</f>
        <v>16081711</v>
      </c>
      <c r="E4" s="11">
        <f>SUM(Raw_Data!M:M)</f>
        <v>14483356.100000015</v>
      </c>
      <c r="F4" s="12">
        <f>COUNTIF(Raw_Data!O:O,"Returned")/(COUNTA(Raw_Data!A:A)-1)</f>
        <v>0.14666666666666667</v>
      </c>
      <c r="H4" s="11">
        <f>SUM(Raw_Data!M:M)/(COUNTA(Raw_Data!A:A)-1)</f>
        <v>48277.853666666713</v>
      </c>
      <c r="I4" s="12">
        <f>SUM(Raw_Data!M:M)/SUM(Raw_Data!R:R)</f>
        <v>1.0273195230596823</v>
      </c>
    </row>
    <row r="7" spans="1:12" ht="24" customHeight="1" x14ac:dyDescent="0.3">
      <c r="A7" s="37" t="s">
        <v>606</v>
      </c>
      <c r="B7" s="37"/>
      <c r="C7" s="37"/>
      <c r="D7" s="37"/>
      <c r="E7" s="37"/>
      <c r="F7" s="37"/>
      <c r="G7" s="37"/>
      <c r="H7" s="37"/>
      <c r="I7" s="37"/>
      <c r="J7" s="37"/>
    </row>
    <row r="8" spans="1:12" ht="15" customHeight="1" x14ac:dyDescent="0.3">
      <c r="A8" s="13" t="s">
        <v>1</v>
      </c>
      <c r="B8" s="13" t="s">
        <v>607</v>
      </c>
      <c r="C8" s="13" t="s">
        <v>10</v>
      </c>
      <c r="D8" s="13" t="s">
        <v>603</v>
      </c>
      <c r="E8" s="13" t="s">
        <v>608</v>
      </c>
      <c r="F8" s="13" t="s">
        <v>609</v>
      </c>
      <c r="G8" s="13" t="s">
        <v>586</v>
      </c>
      <c r="H8" s="13" t="s">
        <v>610</v>
      </c>
      <c r="I8" s="13" t="s">
        <v>611</v>
      </c>
    </row>
    <row r="9" spans="1:12" ht="15" customHeight="1" x14ac:dyDescent="0.3">
      <c r="A9" s="2" t="s">
        <v>19</v>
      </c>
      <c r="B9" s="2">
        <f>COUNTIF(Raw_Data!B:B,A9)</f>
        <v>25</v>
      </c>
      <c r="C9" s="6">
        <f>SUMIF(Raw_Data!B:B,A9,Raw_Data!K:K)</f>
        <v>816327</v>
      </c>
      <c r="D9" s="6">
        <f>SUMIF(Raw_Data!B:B,A9,Raw_Data!M:M)</f>
        <v>708897.35</v>
      </c>
      <c r="E9" s="6">
        <f>SUMIF(Raw_Data!B:B,A9,Raw_Data!R:R)</f>
        <v>722400</v>
      </c>
      <c r="F9" s="7">
        <f t="shared" ref="F9:F20" si="0">IFERROR(D9/E9,0)</f>
        <v>0.98130862403100771</v>
      </c>
      <c r="G9" s="2">
        <f>COUNTIFS(Raw_Data!B:B,A9,Raw_Data!O:O,"Returned")</f>
        <v>6</v>
      </c>
      <c r="H9" s="7">
        <f t="shared" ref="H9:H20" si="1">IFERROR(G9/B9,0)</f>
        <v>0.24</v>
      </c>
      <c r="I9" s="7">
        <v>0</v>
      </c>
    </row>
    <row r="10" spans="1:12" ht="15" customHeight="1" x14ac:dyDescent="0.3">
      <c r="A10" s="3" t="s">
        <v>28</v>
      </c>
      <c r="B10" s="3">
        <f>COUNTIF(Raw_Data!B:B,A10)</f>
        <v>25</v>
      </c>
      <c r="C10" s="4">
        <f>SUMIF(Raw_Data!B:B,A10,Raw_Data!K:K)</f>
        <v>1244097</v>
      </c>
      <c r="D10" s="4">
        <f>SUMIF(Raw_Data!B:B,A10,Raw_Data!M:M)</f>
        <v>1118868.6499999999</v>
      </c>
      <c r="E10" s="4">
        <f>SUMIF(Raw_Data!B:B,A10,Raw_Data!R:R)</f>
        <v>1140500</v>
      </c>
      <c r="F10" s="5">
        <f t="shared" si="0"/>
        <v>0.98103345024112221</v>
      </c>
      <c r="G10" s="3">
        <f>COUNTIFS(Raw_Data!B:B,A10,Raw_Data!O:O,"Returned")</f>
        <v>6</v>
      </c>
      <c r="H10" s="5">
        <f t="shared" si="1"/>
        <v>0.24</v>
      </c>
      <c r="I10" s="5">
        <f t="shared" ref="I10:I20" si="2">IFERROR((D10-D9)/D9,0)</f>
        <v>0.57832251735741425</v>
      </c>
    </row>
    <row r="11" spans="1:12" ht="15" customHeight="1" x14ac:dyDescent="0.3">
      <c r="A11" s="2" t="s">
        <v>36</v>
      </c>
      <c r="B11" s="2">
        <f>COUNTIF(Raw_Data!B:B,A11)</f>
        <v>25</v>
      </c>
      <c r="C11" s="6">
        <f>SUMIF(Raw_Data!B:B,A11,Raw_Data!K:K)</f>
        <v>1767444</v>
      </c>
      <c r="D11" s="6">
        <f>SUMIF(Raw_Data!B:B,A11,Raw_Data!M:M)</f>
        <v>1520021.95</v>
      </c>
      <c r="E11" s="6">
        <f>SUMIF(Raw_Data!B:B,A11,Raw_Data!R:R)</f>
        <v>1427500</v>
      </c>
      <c r="F11" s="7">
        <f t="shared" si="0"/>
        <v>1.0648139754816113</v>
      </c>
      <c r="G11" s="2">
        <f>COUNTIFS(Raw_Data!B:B,A11,Raw_Data!O:O,"Returned")</f>
        <v>0</v>
      </c>
      <c r="H11" s="7">
        <f t="shared" si="1"/>
        <v>0</v>
      </c>
      <c r="I11" s="7">
        <f t="shared" si="2"/>
        <v>0.35853475740874508</v>
      </c>
    </row>
    <row r="12" spans="1:12" ht="15" customHeight="1" x14ac:dyDescent="0.3">
      <c r="A12" s="3" t="s">
        <v>42</v>
      </c>
      <c r="B12" s="3">
        <f>COUNTIF(Raw_Data!B:B,A12)</f>
        <v>25</v>
      </c>
      <c r="C12" s="4">
        <f>SUMIF(Raw_Data!B:B,A12,Raw_Data!K:K)</f>
        <v>1743268</v>
      </c>
      <c r="D12" s="4">
        <f>SUMIF(Raw_Data!B:B,A12,Raw_Data!M:M)</f>
        <v>1560955.05</v>
      </c>
      <c r="E12" s="4">
        <f>SUMIF(Raw_Data!B:B,A12,Raw_Data!R:R)</f>
        <v>1443900</v>
      </c>
      <c r="F12" s="5">
        <f t="shared" si="0"/>
        <v>1.0810686681903179</v>
      </c>
      <c r="G12" s="3">
        <f>COUNTIFS(Raw_Data!B:B,A12,Raw_Data!O:O,"Returned")</f>
        <v>3</v>
      </c>
      <c r="H12" s="5">
        <f t="shared" si="1"/>
        <v>0.12</v>
      </c>
      <c r="I12" s="5">
        <f t="shared" si="2"/>
        <v>2.6929282172537108E-2</v>
      </c>
    </row>
    <row r="13" spans="1:12" ht="15" customHeight="1" x14ac:dyDescent="0.3">
      <c r="A13" s="2" t="s">
        <v>48</v>
      </c>
      <c r="B13" s="2">
        <f>COUNTIF(Raw_Data!B:B,A13)</f>
        <v>25</v>
      </c>
      <c r="C13" s="6">
        <f>SUMIF(Raw_Data!B:B,A13,Raw_Data!K:K)</f>
        <v>847915</v>
      </c>
      <c r="D13" s="6">
        <f>SUMIF(Raw_Data!B:B,A13,Raw_Data!M:M)</f>
        <v>791762.4</v>
      </c>
      <c r="E13" s="6">
        <f>SUMIF(Raw_Data!B:B,A13,Raw_Data!R:R)</f>
        <v>756900</v>
      </c>
      <c r="F13" s="7">
        <f t="shared" si="0"/>
        <v>1.0460594530321046</v>
      </c>
      <c r="G13" s="2">
        <f>COUNTIFS(Raw_Data!B:B,A13,Raw_Data!O:O,"Returned")</f>
        <v>5</v>
      </c>
      <c r="H13" s="7">
        <f t="shared" si="1"/>
        <v>0.2</v>
      </c>
      <c r="I13" s="7">
        <f t="shared" si="2"/>
        <v>-0.49277053173312069</v>
      </c>
    </row>
    <row r="14" spans="1:12" ht="15" customHeight="1" x14ac:dyDescent="0.3">
      <c r="A14" s="3" t="s">
        <v>55</v>
      </c>
      <c r="B14" s="3">
        <f>COUNTIF(Raw_Data!B:B,A14)</f>
        <v>25</v>
      </c>
      <c r="C14" s="4">
        <f>SUMIF(Raw_Data!B:B,A14,Raw_Data!K:K)</f>
        <v>1652751</v>
      </c>
      <c r="D14" s="4">
        <f>SUMIF(Raw_Data!B:B,A14,Raw_Data!M:M)</f>
        <v>1577165.6</v>
      </c>
      <c r="E14" s="4">
        <f>SUMIF(Raw_Data!B:B,A14,Raw_Data!R:R)</f>
        <v>1543100</v>
      </c>
      <c r="F14" s="5">
        <f t="shared" si="0"/>
        <v>1.02207608061694</v>
      </c>
      <c r="G14" s="3">
        <f>COUNTIFS(Raw_Data!B:B,A14,Raw_Data!O:O,"Returned")</f>
        <v>4</v>
      </c>
      <c r="H14" s="5">
        <f t="shared" si="1"/>
        <v>0.16</v>
      </c>
      <c r="I14" s="5">
        <f t="shared" si="2"/>
        <v>0.99196829755997518</v>
      </c>
    </row>
    <row r="15" spans="1:12" ht="15" customHeight="1" x14ac:dyDescent="0.3">
      <c r="A15" s="2" t="s">
        <v>63</v>
      </c>
      <c r="B15" s="2">
        <f>COUNTIF(Raw_Data!B:B,A15)</f>
        <v>25</v>
      </c>
      <c r="C15" s="6">
        <f>SUMIF(Raw_Data!B:B,A15,Raw_Data!K:K)</f>
        <v>897139</v>
      </c>
      <c r="D15" s="6">
        <f>SUMIF(Raw_Data!B:B,A15,Raw_Data!M:M)</f>
        <v>809349.15</v>
      </c>
      <c r="E15" s="6">
        <f>SUMIF(Raw_Data!B:B,A15,Raw_Data!R:R)</f>
        <v>756000</v>
      </c>
      <c r="F15" s="7">
        <f t="shared" si="0"/>
        <v>1.0705676587301587</v>
      </c>
      <c r="G15" s="2">
        <f>COUNTIFS(Raw_Data!B:B,A15,Raw_Data!O:O,"Returned")</f>
        <v>3</v>
      </c>
      <c r="H15" s="7">
        <f t="shared" si="1"/>
        <v>0.12</v>
      </c>
      <c r="I15" s="7">
        <f t="shared" si="2"/>
        <v>-0.4868331201238475</v>
      </c>
    </row>
    <row r="16" spans="1:12" ht="15" customHeight="1" x14ac:dyDescent="0.3">
      <c r="A16" s="3" t="s">
        <v>67</v>
      </c>
      <c r="B16" s="3">
        <f>COUNTIF(Raw_Data!B:B,A16)</f>
        <v>25</v>
      </c>
      <c r="C16" s="4">
        <f>SUMIF(Raw_Data!B:B,A16,Raw_Data!K:K)</f>
        <v>1730857</v>
      </c>
      <c r="D16" s="4">
        <f>SUMIF(Raw_Data!B:B,A16,Raw_Data!M:M)</f>
        <v>1562266.9999999995</v>
      </c>
      <c r="E16" s="4">
        <f>SUMIF(Raw_Data!B:B,A16,Raw_Data!R:R)</f>
        <v>1544000</v>
      </c>
      <c r="F16" s="5">
        <f t="shared" si="0"/>
        <v>1.0118309585492224</v>
      </c>
      <c r="G16" s="3">
        <f>COUNTIFS(Raw_Data!B:B,A16,Raw_Data!O:O,"Returned")</f>
        <v>1</v>
      </c>
      <c r="H16" s="5">
        <f t="shared" si="1"/>
        <v>0.04</v>
      </c>
      <c r="I16" s="5">
        <f t="shared" si="2"/>
        <v>0.9302757036317385</v>
      </c>
    </row>
    <row r="17" spans="1:9" ht="15" customHeight="1" x14ac:dyDescent="0.3">
      <c r="A17" s="2" t="s">
        <v>70</v>
      </c>
      <c r="B17" s="2">
        <f>COUNTIF(Raw_Data!B:B,A17)</f>
        <v>25</v>
      </c>
      <c r="C17" s="6">
        <f>SUMIF(Raw_Data!B:B,A17,Raw_Data!K:K)</f>
        <v>1795283</v>
      </c>
      <c r="D17" s="6">
        <f>SUMIF(Raw_Data!B:B,A17,Raw_Data!M:M)</f>
        <v>1567008.6500000004</v>
      </c>
      <c r="E17" s="6">
        <f>SUMIF(Raw_Data!B:B,A17,Raw_Data!R:R)</f>
        <v>1487400</v>
      </c>
      <c r="F17" s="7">
        <f t="shared" si="0"/>
        <v>1.0535220182869438</v>
      </c>
      <c r="G17" s="2">
        <f>COUNTIFS(Raw_Data!B:B,A17,Raw_Data!O:O,"Returned")</f>
        <v>6</v>
      </c>
      <c r="H17" s="7">
        <f t="shared" si="1"/>
        <v>0.24</v>
      </c>
      <c r="I17" s="7">
        <f t="shared" si="2"/>
        <v>3.0351085953942824E-3</v>
      </c>
    </row>
    <row r="18" spans="1:9" ht="15" customHeight="1" x14ac:dyDescent="0.3">
      <c r="A18" s="3" t="s">
        <v>75</v>
      </c>
      <c r="B18" s="3">
        <f>COUNTIF(Raw_Data!B:B,A18)</f>
        <v>25</v>
      </c>
      <c r="C18" s="4">
        <f>SUMIF(Raw_Data!B:B,A18,Raw_Data!K:K)</f>
        <v>1626889</v>
      </c>
      <c r="D18" s="4">
        <f>SUMIF(Raw_Data!B:B,A18,Raw_Data!M:M)</f>
        <v>1504139.05</v>
      </c>
      <c r="E18" s="4">
        <f>SUMIF(Raw_Data!B:B,A18,Raw_Data!R:R)</f>
        <v>1557900</v>
      </c>
      <c r="F18" s="5">
        <f t="shared" si="0"/>
        <v>0.96549139867770717</v>
      </c>
      <c r="G18" s="3">
        <f>COUNTIFS(Raw_Data!B:B,A18,Raw_Data!O:O,"Returned")</f>
        <v>3</v>
      </c>
      <c r="H18" s="5">
        <f t="shared" si="1"/>
        <v>0.12</v>
      </c>
      <c r="I18" s="5">
        <f t="shared" si="2"/>
        <v>-4.0120774062096153E-2</v>
      </c>
    </row>
    <row r="19" spans="1:9" ht="15" customHeight="1" x14ac:dyDescent="0.3">
      <c r="A19" s="2" t="s">
        <v>79</v>
      </c>
      <c r="B19" s="2">
        <f>COUNTIF(Raw_Data!B:B,A19)</f>
        <v>25</v>
      </c>
      <c r="C19" s="6">
        <f>SUMIF(Raw_Data!B:B,A19,Raw_Data!K:K)</f>
        <v>1039392</v>
      </c>
      <c r="D19" s="6">
        <f>SUMIF(Raw_Data!B:B,A19,Raw_Data!M:M)</f>
        <v>905156.05</v>
      </c>
      <c r="E19" s="6">
        <f>SUMIF(Raw_Data!B:B,A19,Raw_Data!R:R)</f>
        <v>893400</v>
      </c>
      <c r="F19" s="7">
        <f t="shared" si="0"/>
        <v>1.0131587754645177</v>
      </c>
      <c r="G19" s="2">
        <f>COUNTIFS(Raw_Data!B:B,A19,Raw_Data!O:O,"Returned")</f>
        <v>1</v>
      </c>
      <c r="H19" s="7">
        <f t="shared" si="1"/>
        <v>0.04</v>
      </c>
      <c r="I19" s="7">
        <f t="shared" si="2"/>
        <v>-0.39822315629662031</v>
      </c>
    </row>
    <row r="20" spans="1:9" ht="15" customHeight="1" x14ac:dyDescent="0.3">
      <c r="A20" s="3" t="s">
        <v>83</v>
      </c>
      <c r="B20" s="3">
        <f>COUNTIF(Raw_Data!B:B,A20)</f>
        <v>25</v>
      </c>
      <c r="C20" s="4">
        <f>SUMIF(Raw_Data!B:B,A20,Raw_Data!K:K)</f>
        <v>920349</v>
      </c>
      <c r="D20" s="4">
        <f>SUMIF(Raw_Data!B:B,A20,Raw_Data!M:M)</f>
        <v>857765.20000000007</v>
      </c>
      <c r="E20" s="4">
        <f>SUMIF(Raw_Data!B:B,A20,Raw_Data!R:R)</f>
        <v>825200</v>
      </c>
      <c r="F20" s="5">
        <f t="shared" si="0"/>
        <v>1.0394634028114398</v>
      </c>
      <c r="G20" s="3">
        <f>COUNTIFS(Raw_Data!B:B,A20,Raw_Data!O:O,"Returned")</f>
        <v>6</v>
      </c>
      <c r="H20" s="5">
        <f t="shared" si="1"/>
        <v>0.24</v>
      </c>
      <c r="I20" s="5">
        <f t="shared" si="2"/>
        <v>-5.2356552221023075E-2</v>
      </c>
    </row>
  </sheetData>
  <mergeCells count="2">
    <mergeCell ref="A1:L1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Monthly_Summary</vt:lpstr>
      <vt:lpstr>City_Analysis</vt:lpstr>
      <vt:lpstr>Category_Performance</vt:lpstr>
      <vt:lpstr>Channel_Analysis</vt:lpstr>
      <vt:lpstr>Return_Analysis</vt:lpstr>
      <vt:lpstr>MIS_Dashboard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GAMARE</cp:lastModifiedBy>
  <cp:revision>0</cp:revision>
  <dcterms:created xsi:type="dcterms:W3CDTF">2026-05-26T15:19:53Z</dcterms:created>
  <dcterms:modified xsi:type="dcterms:W3CDTF">2026-05-31T12:14:29Z</dcterms:modified>
  <dc:language>en-US</dc:language>
</cp:coreProperties>
</file>